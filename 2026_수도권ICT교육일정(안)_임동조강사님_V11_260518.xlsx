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hub\AI_Lecture_2026\20260608_생성형AI프로덕트마스터과정\00_강의커리큘럼\"/>
    </mc:Choice>
  </mc:AlternateContent>
  <xr:revisionPtr revIDLastSave="0" documentId="13_ncr:1_{E7112E7B-F023-4441-B1A5-976D9452F63F}" xr6:coauthVersionLast="47" xr6:coauthVersionMax="47" xr10:uidLastSave="{00000000-0000-0000-0000-000000000000}"/>
  <bookViews>
    <workbookView xWindow="33705" yWindow="1815" windowWidth="21210" windowHeight="17550" activeTab="2" xr2:uid="{00000000-000D-0000-FFFF-FFFF00000000}"/>
  </bookViews>
  <sheets>
    <sheet name="과정운영(안)" sheetId="1" r:id="rId1"/>
    <sheet name="연간일정" sheetId="2" r:id="rId2"/>
    <sheet name="인공지능 심화(160H)" sheetId="3" r:id="rId3"/>
    <sheet name="바이브코딩(80H)" sheetId="4" r:id="rId4"/>
    <sheet name="5월6월교율일정_P1_상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5" l="1"/>
  <c r="I19" i="5"/>
  <c r="I12" i="5"/>
  <c r="I8" i="5"/>
  <c r="D88" i="4"/>
  <c r="I84" i="4"/>
  <c r="D76" i="3"/>
</calcChain>
</file>

<file path=xl/sharedStrings.xml><?xml version="1.0" encoding="utf-8"?>
<sst xmlns="http://schemas.openxmlformats.org/spreadsheetml/2006/main" count="369" uniqueCount="233">
  <si>
    <t>연간 계획(안)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</si>
  <si>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</si>
  <si>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</si>
  <si>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</si>
  <si>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</si>
  <si>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</si>
  <si>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</si>
  <si>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</si>
  <si>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</si>
  <si>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</si>
  <si>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</si>
  <si>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</si>
  <si>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</si>
  <si>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KPI</t>
  </si>
  <si>
    <t>특급</t>
  </si>
  <si>
    <t>올인원 Pass! 인공지능 프로젝트 마스터!</t>
  </si>
  <si>
    <t xml:space="preserve"> </t>
  </si>
  <si>
    <t>주간
(6/8~7/3)</t>
  </si>
  <si>
    <t>주간·저녁(월수토)
(8/26~11/11)</t>
  </si>
  <si>
    <t>AI 융합</t>
  </si>
  <si>
    <t>AI Fit-T 바이브코딩</t>
  </si>
  <si>
    <t>주간
(5/19~6/5)</t>
  </si>
  <si>
    <t>강사명 : 임동조</t>
  </si>
  <si>
    <t>전일</t>
  </si>
  <si>
    <t>일</t>
  </si>
  <si>
    <t>월</t>
  </si>
  <si>
    <t>화</t>
  </si>
  <si>
    <t>수</t>
  </si>
  <si>
    <t>목</t>
  </si>
  <si>
    <t>금</t>
  </si>
  <si>
    <t>토</t>
  </si>
  <si>
    <t>저녁</t>
  </si>
  <si>
    <t>불가</t>
  </si>
  <si>
    <t>오후6시까지</t>
  </si>
  <si>
    <t>🔹 인공지능 심화 과정 교육과정 (160H)</t>
  </si>
  <si>
    <t xml:space="preserve">- 대상: 취업준비생, 예비창업자, 직무전환 희망자 등 </t>
  </si>
  <si>
    <t xml:space="preserve">            AI 시대에 실무 역량을 갖추고 다양한 분야에서 성장하고자 하는 분</t>
  </si>
  <si>
    <t xml:space="preserve">           Python의 기본이 없으신 분은 필수 기본 사전 수업을 참여한 사람을 대상으로 함.</t>
  </si>
  <si>
    <t>- 목표: 다양한 분야의 참여자들의 전반적인 역량을 향상시키고,</t>
  </si>
  <si>
    <t xml:space="preserve">              UX/UI 디자인부터 MVP 개발, 창업 전략까지 풀스택 프로덕트 메이커로 성장</t>
  </si>
  <si>
    <t>　　　LLM, RAG, AI Agent 등 최신 AI 기술을 이해하고 실제 업무에 적용할 수 있는 실무 능력 습득</t>
  </si>
  <si>
    <t>- 특징:</t>
  </si>
  <si>
    <t>　　　Vibe Coding 활용한 AI와 함께 코딩하며 빠르게 결과물 완성</t>
  </si>
  <si>
    <t>　　　생성형 AI 도구((ChatGPT, Claude, Cursor 등) 및 최신 모델 활용 능력 배양</t>
  </si>
  <si>
    <t xml:space="preserve">             최신 AI 도구 활용: Windsurf, Antigravity, Claude, ChatGPT, Figma Make, v0, Lovable 등</t>
  </si>
  <si>
    <t>　　　AI 코드 자동 생성 기능을 활용한 개발 진입 장벽 완화</t>
  </si>
  <si>
    <t xml:space="preserve">             아이디어 → MVP → 검증 → 피봇의 실전 창업 프로세스 체험</t>
  </si>
  <si>
    <t>인공지능 심화 교육과정 (160H)</t>
  </si>
  <si>
    <t>PART 1 | 과정 오리엔테이션</t>
  </si>
  <si>
    <t>학습목표 : 과정 이해, 팀 빌딩, AI 시대 마인드셋 형성</t>
  </si>
  <si>
    <t>- 과정 오리엔테이션 및 최신 AI 산업 트렌드 세미나</t>
  </si>
  <si>
    <t>강의</t>
  </si>
  <si>
    <t>- 커리큘럼 소개 및 학습 로드맵, 포트폴리오 구성 가이드</t>
  </si>
  <si>
    <t>- 팀 빌딩 &amp; 협업 스킬</t>
  </si>
  <si>
    <t>강의/실습</t>
  </si>
  <si>
    <t>- 글로벌 기업 현직자 초청: 실무 협업 및 프로젝트 관리 스킬</t>
  </si>
  <si>
    <t>PART 2 | AI 실전 활용 - 바이브 코딩 및 프로프트 엔지니어링</t>
  </si>
  <si>
    <t>학습목표 : AI와 협업하는 개발의 기초 확립, Vibe Coding 체득</t>
  </si>
  <si>
    <t>- Vibe Coding 개념 &amp; AI 코딩 도구 생태계</t>
  </si>
  <si>
    <t>- Windsurf, Antigravity를 활용한 바이브 코딩 실습</t>
  </si>
  <si>
    <t>- 프롬프트 엔지니어링 &amp; 컨텍스트 설계</t>
  </si>
  <si>
    <t>- 자신만의 게임 및 앱 개발</t>
  </si>
  <si>
    <t>PART 3 | AI 시대 UX/UI 디자인</t>
  </si>
  <si>
    <t>학습목표 : 사용자 중심 설계 능력 확보, AI 디자인 도구 활용</t>
  </si>
  <si>
    <t>- UX/UI 트렌드 &amp; Figma 기초</t>
  </si>
  <si>
    <t>- AI 디자인 도구 활용</t>
  </si>
  <si>
    <t>- 프로토타입 완성 &amp; 테스트</t>
  </si>
  <si>
    <t>PART 4 | 노코드 AI 프로토타이핑</t>
  </si>
  <si>
    <t>학습목표 : 프롬프트만으로 개발, 빠른 MVP 구현</t>
  </si>
  <si>
    <t>- 노코드 AI 도구 비교</t>
  </si>
  <si>
    <t>- Lovable 실습: 프롬프트로 풀스택 앱 생성</t>
  </si>
  <si>
    <t>- v0 실습: React + Tailwind UI 생성</t>
  </si>
  <si>
    <t>- Supabase 연동 (인증, DB, 스토리지)</t>
  </si>
  <si>
    <t>- 🛠️ 실전 실습: 노코드 AI를 활용한 프로토타이핑</t>
  </si>
  <si>
    <t>강의실습</t>
  </si>
  <si>
    <t>PART 5 | 서비스 기획 &amp; 린 스타트업 (20시간)</t>
  </si>
  <si>
    <t>학습목표 : 서비스 기획 역량 확보, 비즈니스 관점에서 프로젝트 방향 설정</t>
  </si>
  <si>
    <t>- AI 서비스 기획 &amp; 타겟 분석</t>
  </si>
  <si>
    <t>- 페르소나 설계 &amp; 린 스타트업</t>
  </si>
  <si>
    <t>- 문제 정의 &amp; 고객 인터뷰 기법</t>
  </si>
  <si>
    <t>- 비즈니스 모델 캔버스 &amp; 랜딩페이지 제작</t>
  </si>
  <si>
    <t>PART 6 | AI를 위한 데이터 실전 분석 &amp; ML 기본</t>
  </si>
  <si>
    <t>학습목표 : AI 기술의 이론적 기반 확립, 데이터 분석 및 ML 모델 구축</t>
  </si>
  <si>
    <t>- AI가 만든 코드 읽고 수정하기</t>
  </si>
  <si>
    <t>- Pandas 데이터 전처리, 공공 데이터 분석 실습</t>
  </si>
  <si>
    <t>- ML 핵심 개념 및 ML 기본 모델 구축</t>
  </si>
  <si>
    <t>- 딥러닝/LLM 작동 원리 (기본 개념 이해, 벡터 DB 기본이해)</t>
  </si>
  <si>
    <t>- 실전 실습해 보기</t>
  </si>
  <si>
    <t>PART 7 | LLM, RAG &amp; AI Agent 개발</t>
  </si>
  <si>
    <t>학습목표 : 최신 AI 기술 실무 구현, LLM/RAG/Agent 개발 능력 확보</t>
  </si>
  <si>
    <t>- LLM API 활용 &amp; 프롬프트 엔지니어링</t>
  </si>
  <si>
    <t>- LangChain 기초 &amp; 체인 구성</t>
  </si>
  <si>
    <t xml:space="preserve">- RAG 시스템 구축, Tool Calling 실습  </t>
  </si>
  <si>
    <t>- AI Agent 개념 &amp; 아키텍처</t>
  </si>
  <si>
    <t>- MCP (Model Context Protocol) , Multi-Agent 시스템</t>
  </si>
  <si>
    <t>PART 8 | 실전 해커톤</t>
  </si>
  <si>
    <t>학습목표 : 모든 역량 통합, 실제 서비스 런칭 및 IR 피칭</t>
  </si>
  <si>
    <t>- 특강 | 실무자 바이브 코딩</t>
  </si>
  <si>
    <t>- 캡스톤 프로젝트 기획 &amp; 팀 빌딩</t>
  </si>
  <si>
    <t>해커톤</t>
  </si>
  <si>
    <t>- 전문가 기술 멘토링 및 아이디어 중간 발표</t>
  </si>
  <si>
    <t>- 집중 개발 및 팀별 자율 최적화 멘토링</t>
  </si>
  <si>
    <t>- 프로토타입 완성 및 결과물 문서화</t>
  </si>
  <si>
    <t>- 최종 결과물 발표, 성과 시상 및 피드백</t>
  </si>
  <si>
    <t>* 전체 커리큘럼 과정은 큰 주제안에서 세부 커리큘럼은 수강생 이해도와 수준에 맞춰 조금씩 변경될 수 있습니다.</t>
  </si>
  <si>
    <t>🔹 바이브 코딩(Vibe Coding) 교육과정 (80H)</t>
  </si>
  <si>
    <t>🔹 바이브 코딩(Vibe Coding) 교육과정 (40H)</t>
  </si>
  <si>
    <t>- 대상: 일반인, 비개발자, 입문자, 개발자 지망생, AI를 활용해 서비스를 직접 만들어보고 싶은 누구나</t>
  </si>
  <si>
    <t>- 대상: 일반인, 비개발자, 입문자, 개발자 지망생, 프로젝트 기반 학습자</t>
  </si>
  <si>
    <t>- 목표: 자연어 기반 생성형 AI 도구를 활용해 효율적으로 코드를 생성하고,</t>
  </si>
  <si>
    <t>　　　간단한 웹 서비스 및 프로젝트를 구현할 수 있는 실습 능력 함양</t>
  </si>
  <si>
    <t>　　　생성형 AI 기반 GUI 도구 중심 (ChatGPT, Claude, Grok, Cursor 등)</t>
  </si>
  <si>
    <t>　　　프롬프트 코딩 → AI 코딩 도구 → API 연동 → 데이터 분석/ML → 배포로 단계적 구성</t>
  </si>
  <si>
    <t>　　　HTML/CSS 웹 기초 → Python 실습 → 생성형 AI 기반 프로젝트로 구성</t>
  </si>
  <si>
    <t>　　　초보자도 쉽게 접근할 수 있도록 코드 자동 생성 기능 위주</t>
  </si>
  <si>
    <t>　　　서비스 기획, UX/UI, 비즈니스 모델까지 포함한 종합 과정</t>
  </si>
  <si>
    <t>　　　팀 프로젝트 + 발표로 실전 경험 확보</t>
  </si>
  <si>
    <t>　　　비교 체험 및 프롬프트 실습 중심</t>
  </si>
  <si>
    <t>바이브 코딩(Vibe Coding) 교육과정 (80H)</t>
  </si>
  <si>
    <t>바이브 코딩(Vibe Coding) 교육과정 (40H)</t>
  </si>
  <si>
    <t>PART 1 | AI 도구 실습 및 MCP 소개</t>
  </si>
  <si>
    <t>PART 1 | 바이브 코딩 시작하기</t>
  </si>
  <si>
    <t>- 과정 소개 — 바이브코딩이란? 왜 지금인가?</t>
  </si>
  <si>
    <t>- 바이브 코딩 개념 및 장단점 이해</t>
  </si>
  <si>
    <t>- AI 도구 지형도 — 어떤 도구들이 있나</t>
  </si>
  <si>
    <t>- ChatGPT vs Claude vs Gemini 비교 실습</t>
  </si>
  <si>
    <t>- 생성형 AI 도구 개요 소개 (Claude, Grok, Cursor, WindSurf 비교 실습)</t>
  </si>
  <si>
    <t>- Notion, Github 소개 및 간단 실습</t>
  </si>
  <si>
    <t>실습</t>
  </si>
  <si>
    <t>PART 2 | 생성형 AI로 문법 정리하기</t>
  </si>
  <si>
    <t>- GPTs 소개 및 실습 - 나만의 AI 만들기</t>
  </si>
  <si>
    <t>- ChatGPT와 함께하는 기본 프로그래밍 문법 정리</t>
  </si>
  <si>
    <t>- MCP 개념 이해 및 기본 실습 - AI가 외부 도구를 쓰는 방법</t>
  </si>
  <si>
    <t>- 자연어로 코드 작성 요청, 오류 수정 등 실습 중심</t>
  </si>
  <si>
    <t>- 정리 + Q&amp;A + 다음 파트 예고</t>
  </si>
  <si>
    <t>=&gt; 결과물: AI 도구 비교 경험 + 나만의 GPT + MCP 기본 연결</t>
  </si>
  <si>
    <t>PART 3 | HTML/CSS와 웹 개발</t>
  </si>
  <si>
    <t>PART 2 | AI 서비스 기획 &amp; 비즈니스 모델</t>
  </si>
  <si>
    <t>- 생성형 AI 도구를 활용한 HTML 및 CSS 기반 웹 페이지 요소 이해</t>
  </si>
  <si>
    <t>- AI 서비스 기획 — 무엇을 만들 것인가?</t>
  </si>
  <si>
    <t>- 웹 페이지 구조 실습</t>
  </si>
  <si>
    <t>- 타겟 분석 — 누구를 위한 서비스인가?</t>
  </si>
  <si>
    <t>- 페르소나 설계 실습</t>
  </si>
  <si>
    <t>- 린 스타트업 방법론 소개</t>
  </si>
  <si>
    <t>- 비즈니스 모델 캔버스 작성</t>
  </si>
  <si>
    <t>- Python 개발 환경 구축, 문법, 라이브러리 소개</t>
  </si>
  <si>
    <t>- 랜딩페이지 기획 &amp; 초안 작성</t>
  </si>
  <si>
    <t>결과물: 페르소나 + 비즈니스 모델 캔버스 + 랜딩페이지 기획서</t>
  </si>
  <si>
    <t>- 데이터 처리와 AI 모델 실습 (예: 날씨 예측, 감성 분석)</t>
  </si>
  <si>
    <t>PART 3 | 바이브코딩 입문 — 웹 기초 &amp; 프롬프트로 만들기</t>
  </si>
  <si>
    <t>PART 4 | 생성형 AI로 코드 자동화</t>
  </si>
  <si>
    <t>- HTML 기초 — 구조 이해하기 (태그, 요소)</t>
  </si>
  <si>
    <t>- CSS 기초, JavaScript 기초 이해</t>
  </si>
  <si>
    <t>- 좋은 프롬프트 vs 나쁜 프롬프트</t>
  </si>
  <si>
    <t>- 프롬프트만으로 "할 일 목록 앱" 만들기</t>
  </si>
  <si>
    <t>- V0 실습 — 랜딩 페이지 만들기</t>
  </si>
  <si>
    <t>- 생성된 코드 가져와서 수정하기</t>
  </si>
  <si>
    <t>=&gt; 결과물: To-Do 앱 + 랜딩 페이지</t>
  </si>
  <si>
    <t>PART 4 | AI 바이브코딩 실전</t>
  </si>
  <si>
    <t>- 윤리적 고려사항 토의</t>
  </si>
  <si>
    <t>- AI IDE 소개 — Antigravity, Windsurf, Claude Code 등</t>
  </si>
  <si>
    <t>- 코드 생성/보완/리팩토링 사례 중심 실습</t>
  </si>
  <si>
    <t>- 설치 + 초기 설정</t>
  </si>
  <si>
    <t>- AI 기반 언어/시각/음성 데이터 코드 자동화 실습</t>
  </si>
  <si>
    <t>- 핵심 인터페이스 — 에디터, AI 패널, 미리보기</t>
  </si>
  <si>
    <t>PART 5 | 실습 프로젝트 수행</t>
  </si>
  <si>
    <t>- 첫 에이전트 실습 — 개인 프로필 페이지 만들기</t>
  </si>
  <si>
    <t>- 나만의 웹 서비스 or 데이터 분석 도구 만들기</t>
  </si>
  <si>
    <t>- AI 작업 기록 이해하기 — 로그/히스토리 활용법</t>
  </si>
  <si>
    <t>- 생성형 AI 도구 조합 활용</t>
  </si>
  <si>
    <t>- 에이전트 활용 심화 — 복잡한 작업 맡기기</t>
  </si>
  <si>
    <t>- 프로젝트 구상 &gt; 개발 &gt; 공유</t>
  </si>
  <si>
    <t>=&gt; 결과물: 프로필 페이지 + AI 코딩 도구로 만든 앱</t>
  </si>
  <si>
    <t>- 프로젝트 발표 및 공유</t>
  </si>
  <si>
    <t>- UX/UI 트렌드 — 좋은 디자인이란?</t>
  </si>
  <si>
    <t>- AI 시대의 UX 설계</t>
  </si>
  <si>
    <t>- 반응형 디자인 이해</t>
  </si>
  <si>
    <t>- 프로토타입 도구 실습 — Figma or V0</t>
  </si>
  <si>
    <t>- 내 프로젝트 프로토타입 완성</t>
  </si>
  <si>
    <t>- 사용성 테스트 기법</t>
  </si>
  <si>
    <t>- 테스트 실습 — 피드백 받고 개선하기</t>
  </si>
  <si>
    <t>=&gt; 결과물: 프로토타입 완성 + 테스트 피드백 반영</t>
  </si>
  <si>
    <t>PART 6 | AI API &amp; 챗봇 개발</t>
  </si>
  <si>
    <t>- ChatGPT API 소개 — API 키 발급 + 기본 구조</t>
  </si>
  <si>
    <t>- API 호출 실습 — 기본 요청/응답</t>
  </si>
  <si>
    <t>- 나만의 AI 챗봇 만들기</t>
  </si>
  <si>
    <t>- 챗봇 UI 꾸미기 + 기능 추가</t>
  </si>
  <si>
    <t>- 다른 AI API 맛보기 — Claude, Gemini API</t>
  </si>
  <si>
    <t>=&gt; 결과물: 나만의 AI 챗봇</t>
  </si>
  <si>
    <t>- 데이터 분석 기본 이해 — 왜 필요한가?</t>
  </si>
  <si>
    <t>- Pandas 기초 — AI에게 물어보며 배우기</t>
  </si>
  <si>
    <t>- 데이터 로딩 및 전처리 with AI 바이브</t>
  </si>
  <si>
    <t>- 시각화 실습 — Seaborn / Matplotlib</t>
  </si>
  <si>
    <t>- 머신러닝 기초 — AI가 코드 작성해주기</t>
  </si>
  <si>
    <t>PART 4 | Python 기초와 AI 실습</t>
  </si>
  <si>
    <t>- 간단한 예측 모델 만들기</t>
  </si>
  <si>
    <t>=&gt; 결과물: 데이터 분석 리포트 + 간단한 ML 모델</t>
  </si>
  <si>
    <t>- 백엔드 없이 백엔드 — Supabase 이해</t>
  </si>
  <si>
    <t>- Supabase 세팅 실습</t>
  </si>
  <si>
    <t>- 소셜 로그인 붙이기</t>
  </si>
  <si>
    <t>- Git &amp; GitHub 기초</t>
  </si>
  <si>
    <t>- 배포하기 — Vercel / Netlify</t>
  </si>
  <si>
    <t>- 프로젝트 기획 워크숍 — 아이디어 → 기획서</t>
  </si>
  <si>
    <t>- 피드백 및 마무리</t>
  </si>
  <si>
    <t>- 팀별 집중 개발</t>
  </si>
  <si>
    <t>- 코드 리뷰 + 피드백 세션</t>
  </si>
  <si>
    <t>- 발표 준비 + 리허설</t>
  </si>
  <si>
    <t>- 파이널 프로젝트 발표 + 회고</t>
  </si>
  <si>
    <t>* 전체 커리큘럼 과정은 큰 주제안에서 세부 커리큘럼은 수강생  이해도와 수준에 맞춰 조금씩 변경될 수 있습니다.</t>
  </si>
  <si>
    <t>구분</t>
  </si>
  <si>
    <t>시간</t>
  </si>
  <si>
    <t>날짜</t>
  </si>
  <si>
    <t>세미나</t>
  </si>
  <si>
    <t>과목</t>
  </si>
  <si>
    <r>
      <t>2026</t>
    </r>
    <r>
      <rPr>
        <b/>
        <sz val="14"/>
        <color rgb="FFFFFFFF"/>
        <rFont val="맑은 고딕"/>
        <family val="3"/>
        <charset val="129"/>
      </rPr>
      <t>년</t>
    </r>
    <r>
      <rPr>
        <b/>
        <sz val="14"/>
        <color rgb="FFFFFFFF"/>
        <rFont val="Arial"/>
        <family val="2"/>
        <scheme val="minor"/>
      </rPr>
      <t xml:space="preserve"> 5</t>
    </r>
    <r>
      <rPr>
        <b/>
        <sz val="14"/>
        <color rgb="FFFFFFFF"/>
        <rFont val="맑은 고딕"/>
        <family val="3"/>
        <charset val="129"/>
      </rPr>
      <t>월</t>
    </r>
    <r>
      <rPr>
        <b/>
        <sz val="14"/>
        <color rgb="FFFFFFFF"/>
        <rFont val="Arial"/>
        <family val="2"/>
        <scheme val="minor"/>
      </rPr>
      <t>~6</t>
    </r>
    <r>
      <rPr>
        <b/>
        <sz val="14"/>
        <color rgb="FFFFFFFF"/>
        <rFont val="맑은 고딕"/>
        <family val="3"/>
        <charset val="129"/>
      </rPr>
      <t>월</t>
    </r>
    <r>
      <rPr>
        <b/>
        <sz val="14"/>
        <color rgb="FFFFFFFF"/>
        <rFont val="Arial"/>
        <family val="2"/>
        <scheme val="minor"/>
      </rPr>
      <t xml:space="preserve"> </t>
    </r>
    <r>
      <rPr>
        <b/>
        <sz val="14"/>
        <color rgb="FFFFFFFF"/>
        <rFont val="맑은 고딕"/>
        <family val="3"/>
        <charset val="129"/>
      </rPr>
      <t>교육</t>
    </r>
    <r>
      <rPr>
        <b/>
        <sz val="14"/>
        <color rgb="FFFFFFFF"/>
        <rFont val="Arial"/>
        <family val="2"/>
        <scheme val="minor"/>
      </rPr>
      <t xml:space="preserve"> </t>
    </r>
    <r>
      <rPr>
        <b/>
        <sz val="14"/>
        <color rgb="FFFFFFFF"/>
        <rFont val="맑은 고딕"/>
        <family val="3"/>
        <charset val="129"/>
      </rPr>
      <t>일정</t>
    </r>
    <phoneticPr fontId="21" type="noConversion"/>
  </si>
  <si>
    <t>대체 공휴일(부처님 오신날) - 휴강</t>
    <phoneticPr fontId="21" type="noConversion"/>
  </si>
  <si>
    <t>전국동시 
지방선거
- 휴강</t>
    <phoneticPr fontId="21" type="noConversion"/>
  </si>
  <si>
    <r>
      <t xml:space="preserve">DAY 2 | PART 1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2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MCP </t>
    </r>
    <r>
      <rPr>
        <sz val="9"/>
        <color rgb="FF000000"/>
        <rFont val="맑은 고딕"/>
        <family val="3"/>
        <charset val="129"/>
      </rPr>
      <t>개념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(2h)
• PART 1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AI </t>
    </r>
    <r>
      <rPr>
        <sz val="9"/>
        <color rgb="FF000000"/>
        <rFont val="맑은 고딕"/>
        <family val="3"/>
        <charset val="129"/>
      </rPr>
      <t>서비스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기획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무엇을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만들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것인가</t>
    </r>
    <r>
      <rPr>
        <sz val="9"/>
        <color rgb="FF000000"/>
        <rFont val="Arial"/>
        <family val="2"/>
        <scheme val="minor"/>
      </rPr>
      <t xml:space="preserve">? (1.5h)
• </t>
    </r>
    <r>
      <rPr>
        <sz val="9"/>
        <color rgb="FF000000"/>
        <rFont val="맑은 고딕"/>
        <family val="3"/>
        <charset val="129"/>
      </rPr>
      <t>타겟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분석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누구를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위한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서비스인가</t>
    </r>
    <r>
      <rPr>
        <sz val="9"/>
        <color rgb="FF000000"/>
        <rFont val="Arial"/>
        <family val="2"/>
        <scheme val="minor"/>
      </rPr>
      <t xml:space="preserve">? (1h)
• </t>
    </r>
    <r>
      <rPr>
        <sz val="9"/>
        <color rgb="FF000000"/>
        <rFont val="맑은 고딕"/>
        <family val="3"/>
        <charset val="129"/>
      </rPr>
      <t>페르소나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설계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(1.5h)</t>
    </r>
    <phoneticPr fontId="21" type="noConversion"/>
  </si>
  <si>
    <r>
      <t xml:space="preserve">DAY 3 | PART 2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3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스타트업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방법론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Arial"/>
        <family val="2"/>
        <scheme val="minor"/>
      </rPr>
      <t xml:space="preserve"> (1.5h)
• </t>
    </r>
    <r>
      <rPr>
        <sz val="9"/>
        <color rgb="FF000000"/>
        <rFont val="맑은 고딕"/>
        <family val="3"/>
        <charset val="129"/>
      </rPr>
      <t>문제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정의</t>
    </r>
    <r>
      <rPr>
        <sz val="9"/>
        <color rgb="FF000000"/>
        <rFont val="Arial"/>
        <family val="2"/>
        <scheme val="minor"/>
      </rPr>
      <t xml:space="preserve"> &amp; </t>
    </r>
    <r>
      <rPr>
        <sz val="9"/>
        <color rgb="FF000000"/>
        <rFont val="맑은 고딕"/>
        <family val="3"/>
        <charset val="129"/>
      </rPr>
      <t>고객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인터뷰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기법</t>
    </r>
    <r>
      <rPr>
        <sz val="9"/>
        <color rgb="FF000000"/>
        <rFont val="Arial"/>
        <family val="2"/>
        <scheme val="minor"/>
      </rPr>
      <t xml:space="preserve"> (1.5h)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</t>
    </r>
    <r>
      <rPr>
        <sz val="9"/>
        <color rgb="FF000000"/>
        <rFont val="맑은 고딕"/>
        <family val="3"/>
        <charset val="129"/>
      </rPr>
      <t>비즈니스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모델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캔버스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작성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랜딩페이지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기획</t>
    </r>
    <r>
      <rPr>
        <sz val="9"/>
        <color rgb="FF000000"/>
        <rFont val="Arial"/>
        <family val="2"/>
        <scheme val="minor"/>
      </rPr>
      <t xml:space="preserve"> &amp; </t>
    </r>
    <r>
      <rPr>
        <sz val="9"/>
        <color rgb="FF000000"/>
        <rFont val="맑은 고딕"/>
        <family val="3"/>
        <charset val="129"/>
      </rPr>
      <t>초안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작성</t>
    </r>
    <r>
      <rPr>
        <sz val="9"/>
        <color rgb="FF000000"/>
        <rFont val="Arial"/>
        <family val="2"/>
        <scheme val="minor"/>
      </rPr>
      <t xml:space="preserve"> (1h)
• PART 2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(0.5h)
• HTML </t>
    </r>
    <r>
      <rPr>
        <sz val="9"/>
        <color rgb="FF000000"/>
        <rFont val="맑은 고딕"/>
        <family val="3"/>
        <charset val="129"/>
      </rPr>
      <t>기초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이해하기</t>
    </r>
    <r>
      <rPr>
        <sz val="9"/>
        <color rgb="FF000000"/>
        <rFont val="Arial"/>
        <family val="2"/>
        <scheme val="minor"/>
      </rPr>
      <t xml:space="preserve"> (1.5h)</t>
    </r>
    <phoneticPr fontId="21" type="noConversion"/>
  </si>
  <si>
    <r>
      <t xml:space="preserve">DAY 4 | PART 3 </t>
    </r>
    <r>
      <rPr>
        <sz val="9"/>
        <color rgb="FF000000"/>
        <rFont val="맑은 고딕"/>
        <family val="3"/>
        <charset val="129"/>
      </rPr>
      <t xml:space="preserve">계속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CSS </t>
    </r>
    <r>
      <rPr>
        <sz val="9"/>
        <color rgb="FF000000"/>
        <rFont val="맑은 고딕"/>
        <family val="3"/>
        <charset val="129"/>
      </rPr>
      <t>기초</t>
    </r>
    <r>
      <rPr>
        <sz val="9"/>
        <color rgb="FF000000"/>
        <rFont val="Arial"/>
        <family val="2"/>
        <scheme val="minor"/>
      </rPr>
      <t xml:space="preserve"> (1h)
• JavaScript </t>
    </r>
    <r>
      <rPr>
        <sz val="9"/>
        <color rgb="FF000000"/>
        <rFont val="맑은 고딕"/>
        <family val="3"/>
        <charset val="129"/>
      </rPr>
      <t>기초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이해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좋은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프롬프트</t>
    </r>
    <r>
      <rPr>
        <sz val="9"/>
        <color rgb="FF000000"/>
        <rFont val="Arial"/>
        <family val="2"/>
        <scheme val="minor"/>
      </rPr>
      <t xml:space="preserve"> vs </t>
    </r>
    <r>
      <rPr>
        <sz val="9"/>
        <color rgb="FF000000"/>
        <rFont val="맑은 고딕"/>
        <family val="3"/>
        <charset val="129"/>
      </rPr>
      <t>나쁜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프롬프트</t>
    </r>
    <r>
      <rPr>
        <sz val="9"/>
        <color rgb="FF000000"/>
        <rFont val="Arial"/>
        <family val="2"/>
        <scheme val="minor"/>
      </rPr>
      <t xml:space="preserve">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</t>
    </r>
    <r>
      <rPr>
        <sz val="9"/>
        <color rgb="FF000000"/>
        <rFont val="맑은 고딕"/>
        <family val="3"/>
        <charset val="129"/>
      </rPr>
      <t>프롬프트만으로</t>
    </r>
    <r>
      <rPr>
        <sz val="9"/>
        <color rgb="FF000000"/>
        <rFont val="Arial"/>
        <family val="2"/>
        <scheme val="minor"/>
      </rPr>
      <t xml:space="preserve"> '</t>
    </r>
    <r>
      <rPr>
        <sz val="9"/>
        <color rgb="FF000000"/>
        <rFont val="맑은 고딕"/>
        <family val="3"/>
        <charset val="129"/>
      </rPr>
      <t>할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일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목록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앱</t>
    </r>
    <r>
      <rPr>
        <sz val="9"/>
        <color rgb="FF000000"/>
        <rFont val="Arial"/>
        <family val="2"/>
        <scheme val="minor"/>
      </rPr>
      <t xml:space="preserve">' </t>
    </r>
    <r>
      <rPr>
        <sz val="9"/>
        <color rgb="FF000000"/>
        <rFont val="맑은 고딕"/>
        <family val="3"/>
        <charset val="129"/>
      </rPr>
      <t>만들기</t>
    </r>
    <r>
      <rPr>
        <sz val="9"/>
        <color rgb="FF000000"/>
        <rFont val="Arial"/>
        <family val="2"/>
        <scheme val="minor"/>
      </rPr>
      <t xml:space="preserve"> (2h)
• V0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랜딩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페이지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만들기</t>
    </r>
    <r>
      <rPr>
        <sz val="9"/>
        <color rgb="FF000000"/>
        <rFont val="Arial"/>
        <family val="2"/>
        <scheme val="minor"/>
      </rPr>
      <t xml:space="preserve"> (2h)</t>
    </r>
    <phoneticPr fontId="21" type="noConversion"/>
  </si>
  <si>
    <r>
      <t xml:space="preserve">DAY 5 | PART 3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4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생성된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코드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가져와서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수정하기</t>
    </r>
    <r>
      <rPr>
        <sz val="9"/>
        <color rgb="FF000000"/>
        <rFont val="Arial"/>
        <family val="2"/>
        <scheme val="minor"/>
      </rPr>
      <t xml:space="preserve"> (2h)
• PART 3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AI IDE </t>
    </r>
    <r>
      <rPr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Arial"/>
        <family val="2"/>
        <scheme val="minor"/>
      </rPr>
      <t xml:space="preserve"> — Antigravity, Windsurf, Claude Code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설치</t>
    </r>
    <r>
      <rPr>
        <sz val="9"/>
        <color rgb="FF000000"/>
        <rFont val="Arial"/>
        <family val="2"/>
        <scheme val="minor"/>
      </rPr>
      <t xml:space="preserve"> + </t>
    </r>
    <r>
      <rPr>
        <sz val="9"/>
        <color rgb="FF000000"/>
        <rFont val="맑은 고딕"/>
        <family val="3"/>
        <charset val="129"/>
      </rPr>
      <t>초기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설정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핵심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인터페이스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에디터</t>
    </r>
    <r>
      <rPr>
        <sz val="9"/>
        <color rgb="FF000000"/>
        <rFont val="Arial"/>
        <family val="2"/>
        <scheme val="minor"/>
      </rPr>
      <t xml:space="preserve">, AI </t>
    </r>
    <r>
      <rPr>
        <sz val="9"/>
        <color rgb="FF000000"/>
        <rFont val="맑은 고딕"/>
        <family val="3"/>
        <charset val="129"/>
      </rPr>
      <t>패널</t>
    </r>
    <r>
      <rPr>
        <sz val="9"/>
        <color rgb="FF000000"/>
        <rFont val="Arial"/>
        <family val="2"/>
        <scheme val="minor"/>
      </rPr>
      <t xml:space="preserve">, </t>
    </r>
    <r>
      <rPr>
        <sz val="9"/>
        <color rgb="FF000000"/>
        <rFont val="맑은 고딕"/>
        <family val="3"/>
        <charset val="129"/>
      </rPr>
      <t>미리보기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첫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에이전트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개인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프로필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페이지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만들기</t>
    </r>
    <r>
      <rPr>
        <sz val="9"/>
        <color rgb="FF000000"/>
        <rFont val="Arial"/>
        <family val="2"/>
        <scheme val="minor"/>
      </rPr>
      <t xml:space="preserve"> (1h)</t>
    </r>
    <phoneticPr fontId="21" type="noConversion"/>
  </si>
  <si>
    <r>
      <t xml:space="preserve">DAY 6 | PART 4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5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AI </t>
    </r>
    <r>
      <rPr>
        <sz val="9"/>
        <color rgb="FF000000"/>
        <rFont val="맑은 고딕"/>
        <family val="3"/>
        <charset val="129"/>
      </rPr>
      <t>작업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기록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이해하기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로그</t>
    </r>
    <r>
      <rPr>
        <sz val="9"/>
        <color rgb="FF000000"/>
        <rFont val="Arial"/>
        <family val="2"/>
        <scheme val="minor"/>
      </rPr>
      <t>/</t>
    </r>
    <r>
      <rPr>
        <sz val="9"/>
        <color rgb="FF000000"/>
        <rFont val="맑은 고딕"/>
        <family val="3"/>
        <charset val="129"/>
      </rPr>
      <t>히스토리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활용법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에이전트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활용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심화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복잡한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작업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맡기기</t>
    </r>
    <r>
      <rPr>
        <sz val="9"/>
        <color rgb="FF000000"/>
        <rFont val="Arial"/>
        <family val="2"/>
        <scheme val="minor"/>
      </rPr>
      <t xml:space="preserve"> (2h)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PART 4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(1h)
• UX/UI </t>
    </r>
    <r>
      <rPr>
        <sz val="9"/>
        <color rgb="FF000000"/>
        <rFont val="맑은 고딕"/>
        <family val="3"/>
        <charset val="129"/>
      </rPr>
      <t>트렌드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좋은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디자인이란</t>
    </r>
    <r>
      <rPr>
        <sz val="9"/>
        <color rgb="FF000000"/>
        <rFont val="Arial"/>
        <family val="2"/>
        <scheme val="minor"/>
      </rPr>
      <t xml:space="preserve">? (1h)
• AI </t>
    </r>
    <r>
      <rPr>
        <sz val="9"/>
        <color rgb="FF000000"/>
        <rFont val="맑은 고딕"/>
        <family val="3"/>
        <charset val="129"/>
      </rPr>
      <t>시대의</t>
    </r>
    <r>
      <rPr>
        <sz val="9"/>
        <color rgb="FF000000"/>
        <rFont val="Arial"/>
        <family val="2"/>
        <scheme val="minor"/>
      </rPr>
      <t xml:space="preserve"> UX </t>
    </r>
    <r>
      <rPr>
        <sz val="9"/>
        <color rgb="FF000000"/>
        <rFont val="맑은 고딕"/>
        <family val="3"/>
        <charset val="129"/>
      </rPr>
      <t>설계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반응형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디자인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이해</t>
    </r>
    <r>
      <rPr>
        <sz val="9"/>
        <color rgb="FF000000"/>
        <rFont val="Arial"/>
        <family val="2"/>
        <scheme val="minor"/>
      </rPr>
      <t xml:space="preserve"> (1h)</t>
    </r>
    <phoneticPr fontId="21" type="noConversion"/>
  </si>
  <si>
    <r>
      <t xml:space="preserve">DAY 7 | PART 5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6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프로토타입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도구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— Figma or V0 (2h)
• </t>
    </r>
    <r>
      <rPr>
        <sz val="9"/>
        <color rgb="FF000000"/>
        <rFont val="맑은 고딕"/>
        <family val="3"/>
        <charset val="129"/>
      </rPr>
      <t>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프로젝트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프로토타입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완성</t>
    </r>
    <r>
      <rPr>
        <sz val="9"/>
        <color rgb="FF000000"/>
        <rFont val="Arial"/>
        <family val="2"/>
        <scheme val="minor"/>
      </rPr>
      <t xml:space="preserve">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</t>
    </r>
    <r>
      <rPr>
        <sz val="9"/>
        <color rgb="FF000000"/>
        <rFont val="맑은 고딕"/>
        <family val="3"/>
        <charset val="129"/>
      </rPr>
      <t>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프로젝트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프로토타입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완성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사용성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기법</t>
    </r>
    <r>
      <rPr>
        <sz val="9"/>
        <color rgb="FF000000"/>
        <rFont val="Arial"/>
        <family val="2"/>
        <scheme val="minor"/>
      </rPr>
      <t xml:space="preserve"> (0.5h)
• </t>
    </r>
    <r>
      <rPr>
        <sz val="9"/>
        <color rgb="FF000000"/>
        <rFont val="맑은 고딕"/>
        <family val="3"/>
        <charset val="129"/>
      </rPr>
      <t>테스트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피드백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받고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개선하기</t>
    </r>
    <r>
      <rPr>
        <sz val="9"/>
        <color rgb="FF000000"/>
        <rFont val="Arial"/>
        <family val="2"/>
        <scheme val="minor"/>
      </rPr>
      <t xml:space="preserve"> (0.5h)
• PART 5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(0.5h)
• ChatGPT API </t>
    </r>
    <r>
      <rPr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Arial"/>
        <family val="2"/>
        <scheme val="minor"/>
      </rPr>
      <t xml:space="preserve"> — API </t>
    </r>
    <r>
      <rPr>
        <sz val="9"/>
        <color rgb="FF000000"/>
        <rFont val="맑은 고딕"/>
        <family val="3"/>
        <charset val="129"/>
      </rPr>
      <t>키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발급</t>
    </r>
    <r>
      <rPr>
        <sz val="9"/>
        <color rgb="FF000000"/>
        <rFont val="Arial"/>
        <family val="2"/>
        <scheme val="minor"/>
      </rPr>
      <t xml:space="preserve"> + </t>
    </r>
    <r>
      <rPr>
        <sz val="9"/>
        <color rgb="FF000000"/>
        <rFont val="맑은 고딕"/>
        <family val="3"/>
        <charset val="129"/>
      </rPr>
      <t>기본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Arial"/>
        <family val="2"/>
        <scheme val="minor"/>
      </rPr>
      <t xml:space="preserve"> (1.5h)
• API </t>
    </r>
    <r>
      <rPr>
        <sz val="9"/>
        <color rgb="FF000000"/>
        <rFont val="맑은 고딕"/>
        <family val="3"/>
        <charset val="129"/>
      </rPr>
      <t>호출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기본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요청</t>
    </r>
    <r>
      <rPr>
        <sz val="9"/>
        <color rgb="FF000000"/>
        <rFont val="Arial"/>
        <family val="2"/>
        <scheme val="minor"/>
      </rPr>
      <t>/</t>
    </r>
    <r>
      <rPr>
        <sz val="9"/>
        <color rgb="FF000000"/>
        <rFont val="맑은 고딕"/>
        <family val="3"/>
        <charset val="129"/>
      </rPr>
      <t>응답</t>
    </r>
    <r>
      <rPr>
        <sz val="9"/>
        <color rgb="FF000000"/>
        <rFont val="Arial"/>
        <family val="2"/>
        <scheme val="minor"/>
      </rPr>
      <t xml:space="preserve"> (1h)</t>
    </r>
    <phoneticPr fontId="21" type="noConversion"/>
  </si>
  <si>
    <r>
      <t xml:space="preserve">DAY 8 | PART 6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7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나만의</t>
    </r>
    <r>
      <rPr>
        <sz val="9"/>
        <color rgb="FF000000"/>
        <rFont val="Arial"/>
        <family val="2"/>
        <scheme val="minor"/>
      </rPr>
      <t xml:space="preserve"> AI </t>
    </r>
    <r>
      <rPr>
        <sz val="9"/>
        <color rgb="FF000000"/>
        <rFont val="맑은 고딕"/>
        <family val="3"/>
        <charset val="129"/>
      </rPr>
      <t>챗봇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만들기</t>
    </r>
    <r>
      <rPr>
        <sz val="9"/>
        <color rgb="FF000000"/>
        <rFont val="Arial"/>
        <family val="2"/>
        <scheme val="minor"/>
      </rPr>
      <t xml:space="preserve"> (2h)
• </t>
    </r>
    <r>
      <rPr>
        <sz val="9"/>
        <color rgb="FF000000"/>
        <rFont val="맑은 고딕"/>
        <family val="3"/>
        <charset val="129"/>
      </rPr>
      <t>챗봇</t>
    </r>
    <r>
      <rPr>
        <sz val="9"/>
        <color rgb="FF000000"/>
        <rFont val="Arial"/>
        <family val="2"/>
        <scheme val="minor"/>
      </rPr>
      <t xml:space="preserve"> UI </t>
    </r>
    <r>
      <rPr>
        <sz val="9"/>
        <color rgb="FF000000"/>
        <rFont val="맑은 고딕"/>
        <family val="3"/>
        <charset val="129"/>
      </rPr>
      <t>꽃미기</t>
    </r>
    <r>
      <rPr>
        <sz val="9"/>
        <color rgb="FF000000"/>
        <rFont val="Arial"/>
        <family val="2"/>
        <scheme val="minor"/>
      </rPr>
      <t xml:space="preserve"> + </t>
    </r>
    <r>
      <rPr>
        <sz val="9"/>
        <color rgb="FF000000"/>
        <rFont val="맑은 고딕"/>
        <family val="3"/>
        <charset val="129"/>
      </rPr>
      <t>기능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추가</t>
    </r>
    <r>
      <rPr>
        <sz val="9"/>
        <color rgb="FF000000"/>
        <rFont val="Arial"/>
        <family val="2"/>
        <scheme val="minor"/>
      </rPr>
      <t xml:space="preserve">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</t>
    </r>
    <r>
      <rPr>
        <sz val="9"/>
        <color rgb="FF000000"/>
        <rFont val="맑은 고딕"/>
        <family val="3"/>
        <charset val="129"/>
      </rPr>
      <t>챗봇</t>
    </r>
    <r>
      <rPr>
        <sz val="9"/>
        <color rgb="FF000000"/>
        <rFont val="Arial"/>
        <family val="2"/>
        <scheme val="minor"/>
      </rPr>
      <t xml:space="preserve"> UI </t>
    </r>
    <r>
      <rPr>
        <sz val="9"/>
        <color rgb="FF000000"/>
        <rFont val="맑은 고딕"/>
        <family val="3"/>
        <charset val="129"/>
      </rPr>
      <t>꽃미기</t>
    </r>
    <r>
      <rPr>
        <sz val="9"/>
        <color rgb="FF000000"/>
        <rFont val="Arial"/>
        <family val="2"/>
        <scheme val="minor"/>
      </rPr>
      <t xml:space="preserve"> + </t>
    </r>
    <r>
      <rPr>
        <sz val="9"/>
        <color rgb="FF000000"/>
        <rFont val="맑은 고딕"/>
        <family val="3"/>
        <charset val="129"/>
      </rPr>
      <t>기능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추가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(0.5h)
• </t>
    </r>
    <r>
      <rPr>
        <sz val="9"/>
        <color rgb="FF000000"/>
        <rFont val="맑은 고딕"/>
        <family val="3"/>
        <charset val="129"/>
      </rPr>
      <t>다른</t>
    </r>
    <r>
      <rPr>
        <sz val="9"/>
        <color rgb="FF000000"/>
        <rFont val="Arial"/>
        <family val="2"/>
        <scheme val="minor"/>
      </rPr>
      <t xml:space="preserve"> AI API </t>
    </r>
    <r>
      <rPr>
        <sz val="9"/>
        <color rgb="FF000000"/>
        <rFont val="맑은 고딕"/>
        <family val="3"/>
        <charset val="129"/>
      </rPr>
      <t>맛보기</t>
    </r>
    <r>
      <rPr>
        <sz val="9"/>
        <color rgb="FF000000"/>
        <rFont val="Arial"/>
        <family val="2"/>
        <scheme val="minor"/>
      </rPr>
      <t xml:space="preserve"> — Claude, Gemini API (1h)
• PART 6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(0.5h)
• </t>
    </r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분석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이해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필요한가</t>
    </r>
    <r>
      <rPr>
        <sz val="9"/>
        <color rgb="FF000000"/>
        <rFont val="Arial"/>
        <family val="2"/>
        <scheme val="minor"/>
      </rPr>
      <t xml:space="preserve">? (1h)
• Pandas </t>
    </r>
    <r>
      <rPr>
        <sz val="9"/>
        <color rgb="FF000000"/>
        <rFont val="맑은 고딕"/>
        <family val="3"/>
        <charset val="129"/>
      </rPr>
      <t>기초</t>
    </r>
    <r>
      <rPr>
        <sz val="9"/>
        <color rgb="FF000000"/>
        <rFont val="Arial"/>
        <family val="2"/>
        <scheme val="minor"/>
      </rPr>
      <t xml:space="preserve"> — AI</t>
    </r>
    <r>
      <rPr>
        <sz val="9"/>
        <color rgb="FF000000"/>
        <rFont val="맑은 고딕"/>
        <family val="3"/>
        <charset val="129"/>
      </rPr>
      <t>에게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묻어보며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배우기</t>
    </r>
    <r>
      <rPr>
        <sz val="9"/>
        <color rgb="FF000000"/>
        <rFont val="Arial"/>
        <family val="2"/>
        <scheme val="minor"/>
      </rPr>
      <t xml:space="preserve"> (1h)</t>
    </r>
    <phoneticPr fontId="21" type="noConversion"/>
  </si>
  <si>
    <r>
      <t xml:space="preserve">DAY 9 | PART 7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8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로딩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전처리</t>
    </r>
    <r>
      <rPr>
        <sz val="9"/>
        <color rgb="FF000000"/>
        <rFont val="Arial"/>
        <family val="2"/>
        <scheme val="minor"/>
      </rPr>
      <t xml:space="preserve"> with AI </t>
    </r>
    <r>
      <rPr>
        <sz val="9"/>
        <color rgb="FF000000"/>
        <rFont val="맑은 고딕"/>
        <family val="3"/>
        <charset val="129"/>
      </rPr>
      <t>바이브</t>
    </r>
    <r>
      <rPr>
        <sz val="9"/>
        <color rgb="FF000000"/>
        <rFont val="Arial"/>
        <family val="2"/>
        <scheme val="minor"/>
      </rPr>
      <t xml:space="preserve"> (1.5h)
• </t>
    </r>
    <r>
      <rPr>
        <sz val="9"/>
        <color rgb="FF000000"/>
        <rFont val="맑은 고딕"/>
        <family val="3"/>
        <charset val="129"/>
      </rPr>
      <t>시각화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— Seaborn / Matplotlib (1.5h)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</t>
    </r>
    <r>
      <rPr>
        <sz val="9"/>
        <color rgb="FF000000"/>
        <rFont val="맑은 고딕"/>
        <family val="3"/>
        <charset val="129"/>
      </rPr>
      <t>머신러닝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기초</t>
    </r>
    <r>
      <rPr>
        <sz val="9"/>
        <color rgb="FF000000"/>
        <rFont val="Arial"/>
        <family val="2"/>
        <scheme val="minor"/>
      </rPr>
      <t xml:space="preserve"> — AI</t>
    </r>
    <r>
      <rPr>
        <sz val="9"/>
        <color rgb="FF000000"/>
        <rFont val="맑은 고딕"/>
        <family val="3"/>
        <charset val="129"/>
      </rPr>
      <t>가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코드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작성해주기</t>
    </r>
    <r>
      <rPr>
        <sz val="9"/>
        <color rgb="FF000000"/>
        <rFont val="Arial"/>
        <family val="2"/>
        <scheme val="minor"/>
      </rPr>
      <t xml:space="preserve"> (1.5h)
• </t>
    </r>
    <r>
      <rPr>
        <sz val="9"/>
        <color rgb="FF000000"/>
        <rFont val="맑은 고딕"/>
        <family val="3"/>
        <charset val="129"/>
      </rPr>
      <t>간단한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예측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모델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만들기</t>
    </r>
    <r>
      <rPr>
        <sz val="9"/>
        <color rgb="FF000000"/>
        <rFont val="Arial"/>
        <family val="2"/>
        <scheme val="minor"/>
      </rPr>
      <t xml:space="preserve"> (1h)
• PART 7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(1h)</t>
    </r>
    <phoneticPr fontId="21" type="noConversion"/>
  </si>
  <si>
    <r>
      <t xml:space="preserve">DAY 10 | PART 8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+ PART 9 </t>
    </r>
    <r>
      <rPr>
        <sz val="9"/>
        <color rgb="FF000000"/>
        <rFont val="맑은 고딕"/>
        <family val="3"/>
        <charset val="129"/>
      </rPr>
      <t xml:space="preserve">시작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백엔드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백엔드</t>
    </r>
    <r>
      <rPr>
        <sz val="9"/>
        <color rgb="FF000000"/>
        <rFont val="Arial"/>
        <family val="2"/>
        <scheme val="minor"/>
      </rPr>
      <t xml:space="preserve"> — Supabase </t>
    </r>
    <r>
      <rPr>
        <sz val="9"/>
        <color rgb="FF000000"/>
        <rFont val="맑은 고딕"/>
        <family val="3"/>
        <charset val="129"/>
      </rPr>
      <t>이해</t>
    </r>
    <r>
      <rPr>
        <sz val="9"/>
        <color rgb="FF000000"/>
        <rFont val="Arial"/>
        <family val="2"/>
        <scheme val="minor"/>
      </rPr>
      <t xml:space="preserve"> (1.5h)
• Supabase </t>
    </r>
    <r>
      <rPr>
        <sz val="9"/>
        <color rgb="FF000000"/>
        <rFont val="맑은 고딕"/>
        <family val="3"/>
        <charset val="129"/>
      </rPr>
      <t>세팅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(1.5h)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</t>
    </r>
    <r>
      <rPr>
        <sz val="9"/>
        <color rgb="FF000000"/>
        <rFont val="맑은 고딕"/>
        <family val="3"/>
        <charset val="129"/>
      </rPr>
      <t>소셜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로그인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붙이기</t>
    </r>
    <r>
      <rPr>
        <sz val="9"/>
        <color rgb="FF000000"/>
        <rFont val="Arial"/>
        <family val="2"/>
        <scheme val="minor"/>
      </rPr>
      <t xml:space="preserve"> (1h)
• Git &amp; GitHub </t>
    </r>
    <r>
      <rPr>
        <sz val="9"/>
        <color rgb="FF000000"/>
        <rFont val="맑은 고딕"/>
        <family val="3"/>
        <charset val="129"/>
      </rPr>
      <t>기초</t>
    </r>
    <r>
      <rPr>
        <sz val="9"/>
        <color rgb="FF000000"/>
        <rFont val="Arial"/>
        <family val="2"/>
        <scheme val="minor"/>
      </rPr>
      <t xml:space="preserve"> (1h)
• </t>
    </r>
    <r>
      <rPr>
        <sz val="9"/>
        <color rgb="FF000000"/>
        <rFont val="맑은 고딕"/>
        <family val="3"/>
        <charset val="129"/>
      </rPr>
      <t>배포하기</t>
    </r>
    <r>
      <rPr>
        <sz val="9"/>
        <color rgb="FF000000"/>
        <rFont val="Arial"/>
        <family val="2"/>
        <scheme val="minor"/>
      </rPr>
      <t xml:space="preserve"> — Vercel / Netlify (1h)
• PART 8 </t>
    </r>
    <r>
      <rPr>
        <sz val="9"/>
        <color rgb="FF000000"/>
        <rFont val="맑은 고딕"/>
        <family val="3"/>
        <charset val="129"/>
      </rPr>
      <t>정리</t>
    </r>
    <r>
      <rPr>
        <sz val="9"/>
        <color rgb="FF000000"/>
        <rFont val="Arial"/>
        <family val="2"/>
        <scheme val="minor"/>
      </rPr>
      <t xml:space="preserve"> + Q&amp;A (0.5h)
• </t>
    </r>
    <r>
      <rPr>
        <sz val="9"/>
        <color rgb="FF000000"/>
        <rFont val="맑은 고딕"/>
        <family val="3"/>
        <charset val="129"/>
      </rPr>
      <t>프로젝트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기획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워크숏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아이디어</t>
    </r>
    <r>
      <rPr>
        <sz val="9"/>
        <color rgb="FF000000"/>
        <rFont val="Arial"/>
        <family val="2"/>
        <scheme val="minor"/>
      </rPr>
      <t xml:space="preserve"> → </t>
    </r>
    <r>
      <rPr>
        <sz val="9"/>
        <color rgb="FF000000"/>
        <rFont val="맑은 고딕"/>
        <family val="3"/>
        <charset val="129"/>
      </rPr>
      <t>기획서</t>
    </r>
    <r>
      <rPr>
        <sz val="9"/>
        <color rgb="FF000000"/>
        <rFont val="Arial"/>
        <family val="2"/>
        <scheme val="minor"/>
      </rPr>
      <t xml:space="preserve"> (1.5h)</t>
    </r>
    <phoneticPr fontId="21" type="noConversion"/>
  </si>
  <si>
    <t>DAY 11 | PART 9: 팀별 집중 개발
[오전] 10:00-13:00
• 팀별 집중 개발 (3h)
[오후] 14:00-18:00
• 팀별 집중 개발 계속 (1h)
• 코드 리뷰 + 피드백 세션 (2h)
• 발표 준비 + 리허설 (1h)</t>
    <phoneticPr fontId="21" type="noConversion"/>
  </si>
  <si>
    <r>
      <t xml:space="preserve">DAY 12 | PART 9: </t>
    </r>
    <r>
      <rPr>
        <sz val="9"/>
        <color rgb="FF000000"/>
        <rFont val="맑은 고딕"/>
        <family val="3"/>
        <charset val="129"/>
      </rPr>
      <t>파이널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발표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Segoe UI Emoji"/>
        <family val="2"/>
      </rPr>
      <t xml:space="preserve">⭐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파이널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프로젝트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발표</t>
    </r>
    <r>
      <rPr>
        <sz val="9"/>
        <color rgb="FF000000"/>
        <rFont val="Arial"/>
        <family val="2"/>
        <scheme val="minor"/>
      </rPr>
      <t xml:space="preserve"> (2h)
• </t>
    </r>
    <r>
      <rPr>
        <sz val="9"/>
        <color rgb="FF000000"/>
        <rFont val="맑은 고딕"/>
        <family val="3"/>
        <charset val="129"/>
      </rPr>
      <t>회고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수료식</t>
    </r>
    <r>
      <rPr>
        <sz val="9"/>
        <color rgb="FF000000"/>
        <rFont val="Arial"/>
        <family val="2"/>
        <scheme val="minor"/>
      </rPr>
      <t xml:space="preserve">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
</t>
    </r>
    <r>
      <rPr>
        <sz val="9"/>
        <color rgb="FF000000"/>
        <rFont val="맑은 고딕"/>
        <family val="3"/>
        <charset val="129"/>
      </rPr>
      <t>수업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없음</t>
    </r>
    <phoneticPr fontId="21" type="noConversion"/>
  </si>
  <si>
    <r>
      <rPr>
        <b/>
        <sz val="9"/>
        <color rgb="FF000000"/>
        <rFont val="Arial"/>
        <family val="2"/>
        <scheme val="minor"/>
      </rPr>
      <t xml:space="preserve">01 - AI </t>
    </r>
    <r>
      <rPr>
        <b/>
        <sz val="9"/>
        <color rgb="FF000000"/>
        <rFont val="맑은 고딕"/>
        <family val="3"/>
        <charset val="129"/>
      </rPr>
      <t>도구</t>
    </r>
    <r>
      <rPr>
        <b/>
        <sz val="9"/>
        <color rgb="FF000000"/>
        <rFont val="Arial"/>
        <family val="2"/>
        <scheme val="minor"/>
      </rPr>
      <t xml:space="preserve"> </t>
    </r>
    <r>
      <rPr>
        <b/>
        <sz val="9"/>
        <color rgb="FF000000"/>
        <rFont val="맑은 고딕"/>
        <family val="3"/>
        <charset val="129"/>
      </rPr>
      <t>실습</t>
    </r>
    <r>
      <rPr>
        <b/>
        <sz val="9"/>
        <color rgb="FF000000"/>
        <rFont val="Arial"/>
        <family val="2"/>
        <scheme val="minor"/>
      </rPr>
      <t xml:space="preserve"> </t>
    </r>
    <r>
      <rPr>
        <b/>
        <sz val="9"/>
        <color rgb="FF000000"/>
        <rFont val="맑은 고딕"/>
        <family val="3"/>
        <charset val="129"/>
      </rPr>
      <t>및</t>
    </r>
    <r>
      <rPr>
        <b/>
        <sz val="9"/>
        <color rgb="FF000000"/>
        <rFont val="Arial"/>
        <family val="2"/>
        <scheme val="minor"/>
      </rPr>
      <t xml:space="preserve"> MCP </t>
    </r>
    <r>
      <rPr>
        <b/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맑은 고딕"/>
        <family val="3"/>
        <charset val="129"/>
      </rPr>
      <t xml:space="preserve">
</t>
    </r>
    <r>
      <rPr>
        <sz val="9"/>
        <color rgb="FF000000"/>
        <rFont val="Arial"/>
        <family val="2"/>
        <scheme val="minor"/>
      </rPr>
      <t>[</t>
    </r>
    <r>
      <rPr>
        <sz val="9"/>
        <color rgb="FF000000"/>
        <rFont val="맑은 고딕"/>
        <family val="3"/>
        <charset val="129"/>
      </rPr>
      <t>오전</t>
    </r>
    <r>
      <rPr>
        <sz val="9"/>
        <color rgb="FF000000"/>
        <rFont val="Arial"/>
        <family val="2"/>
        <scheme val="minor"/>
      </rPr>
      <t xml:space="preserve">] 10:00-13:00
• </t>
    </r>
    <r>
      <rPr>
        <sz val="9"/>
        <color rgb="FF000000"/>
        <rFont val="맑은 고딕"/>
        <family val="3"/>
        <charset val="129"/>
      </rPr>
      <t>과정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바이브코딩이란</t>
    </r>
    <r>
      <rPr>
        <sz val="9"/>
        <color rgb="FF000000"/>
        <rFont val="Arial"/>
        <family val="2"/>
        <scheme val="minor"/>
      </rPr>
      <t xml:space="preserve">? </t>
    </r>
    <r>
      <rPr>
        <sz val="9"/>
        <color rgb="FF000000"/>
        <rFont val="맑은 고딕"/>
        <family val="3"/>
        <charset val="129"/>
      </rPr>
      <t>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지금인가</t>
    </r>
    <r>
      <rPr>
        <sz val="9"/>
        <color rgb="FF000000"/>
        <rFont val="Arial"/>
        <family val="2"/>
        <scheme val="minor"/>
      </rPr>
      <t xml:space="preserve">? (1h)
• AI </t>
    </r>
    <r>
      <rPr>
        <sz val="9"/>
        <color rgb="FF000000"/>
        <rFont val="맑은 고딕"/>
        <family val="3"/>
        <charset val="129"/>
      </rPr>
      <t>도구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지형도</t>
    </r>
    <r>
      <rPr>
        <sz val="9"/>
        <color rgb="FF000000"/>
        <rFont val="Arial"/>
        <family val="2"/>
        <scheme val="minor"/>
      </rPr>
      <t xml:space="preserve"> — </t>
    </r>
    <r>
      <rPr>
        <sz val="9"/>
        <color rgb="FF000000"/>
        <rFont val="맑은 고딕"/>
        <family val="3"/>
        <charset val="129"/>
      </rPr>
      <t>어떤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도구들이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있나</t>
    </r>
    <r>
      <rPr>
        <sz val="9"/>
        <color rgb="FF000000"/>
        <rFont val="Arial"/>
        <family val="2"/>
        <scheme val="minor"/>
      </rPr>
      <t xml:space="preserve"> (1h)
• ChatGPT vs Claude vs Gemini </t>
    </r>
    <r>
      <rPr>
        <sz val="9"/>
        <color rgb="FF000000"/>
        <rFont val="맑은 고딕"/>
        <family val="3"/>
        <charset val="129"/>
      </rPr>
      <t>비교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(1h)
[</t>
    </r>
    <r>
      <rPr>
        <sz val="9"/>
        <color rgb="FF000000"/>
        <rFont val="맑은 고딕"/>
        <family val="3"/>
        <charset val="129"/>
      </rPr>
      <t>오후</t>
    </r>
    <r>
      <rPr>
        <sz val="9"/>
        <color rgb="FF000000"/>
        <rFont val="Arial"/>
        <family val="2"/>
        <scheme val="minor"/>
      </rPr>
      <t xml:space="preserve">] 14:00-18:00
• ChatGPT vs Claude vs Gemini </t>
    </r>
    <r>
      <rPr>
        <sz val="9"/>
        <color rgb="FF000000"/>
        <rFont val="맑은 고딕"/>
        <family val="3"/>
        <charset val="129"/>
      </rPr>
      <t>비교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계속</t>
    </r>
    <r>
      <rPr>
        <sz val="9"/>
        <color rgb="FF000000"/>
        <rFont val="Arial"/>
        <family val="2"/>
        <scheme val="minor"/>
      </rPr>
      <t xml:space="preserve"> (1h)
• Notion, Github </t>
    </r>
    <r>
      <rPr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간단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(1.5h)
• GPTs </t>
    </r>
    <r>
      <rPr>
        <sz val="9"/>
        <color rgb="FF000000"/>
        <rFont val="맑은 고딕"/>
        <family val="3"/>
        <charset val="129"/>
      </rPr>
      <t>소개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Arial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실습</t>
    </r>
    <r>
      <rPr>
        <sz val="9"/>
        <color rgb="FF000000"/>
        <rFont val="Arial"/>
        <family val="2"/>
        <scheme val="minor"/>
      </rPr>
      <t xml:space="preserve"> - </t>
    </r>
    <r>
      <rPr>
        <sz val="9"/>
        <color rgb="FF000000"/>
        <rFont val="맑은 고딕"/>
        <family val="3"/>
        <charset val="129"/>
      </rPr>
      <t>나만의</t>
    </r>
    <r>
      <rPr>
        <sz val="9"/>
        <color rgb="FF000000"/>
        <rFont val="Arial"/>
        <family val="2"/>
        <scheme val="minor"/>
      </rPr>
      <t xml:space="preserve"> AI </t>
    </r>
    <r>
      <rPr>
        <sz val="9"/>
        <color rgb="FF000000"/>
        <rFont val="맑은 고딕"/>
        <family val="3"/>
        <charset val="129"/>
      </rPr>
      <t>만들기</t>
    </r>
    <r>
      <rPr>
        <sz val="9"/>
        <color rgb="FF000000"/>
        <rFont val="Arial"/>
        <family val="2"/>
        <scheme val="minor"/>
      </rPr>
      <t xml:space="preserve"> (1.5h)</t>
    </r>
    <phoneticPr fontId="21" type="noConversion"/>
  </si>
  <si>
    <t>PART 5 | UX/UI 트렌드 &amp; 프로토타입</t>
    <phoneticPr fontId="21" type="noConversion"/>
  </si>
  <si>
    <t>PART 8 | 백엔드 연동 + 배포 + 프로젝트 완성</t>
    <phoneticPr fontId="21" type="noConversion"/>
  </si>
  <si>
    <t>PART 9 |  실전 프로젝트</t>
    <phoneticPr fontId="21" type="noConversion"/>
  </si>
  <si>
    <t>PART 7 | 데이터 분석 &amp; 머신러닝 with 바이브코딩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</si>
</sst>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sz val="10"/>
      <name val="Arial"/>
      <family val="2"/>
    </font>
    <font>
      <b/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b/>
      <sz val="9"/>
      <color rgb="FF0000FF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9"/>
      <color rgb="FF999999"/>
      <name val="Noto Sans KR"/>
      <family val="3"/>
      <charset val="129"/>
    </font>
    <font>
      <sz val="10"/>
      <color theme="1"/>
      <name val="Arial"/>
      <family val="2"/>
    </font>
    <font>
      <sz val="9"/>
      <color rgb="FFFFFFFF"/>
      <name val="Noto Sans KR"/>
      <family val="3"/>
      <charset val="129"/>
    </font>
    <font>
      <sz val="8"/>
      <name val="Arial"/>
      <family val="3"/>
      <charset val="129"/>
      <scheme val="minor"/>
    </font>
    <font>
      <b/>
      <sz val="14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7"/>
      <color rgb="FF000000"/>
      <name val="Arial"/>
      <family val="2"/>
      <scheme val="minor"/>
    </font>
    <font>
      <b/>
      <sz val="17"/>
      <color rgb="FFC00000"/>
      <name val="Arial"/>
      <family val="2"/>
      <scheme val="minor"/>
    </font>
    <font>
      <b/>
      <sz val="17"/>
      <color rgb="FF0070C0"/>
      <name val="Arial"/>
      <family val="2"/>
      <scheme val="minor"/>
    </font>
    <font>
      <b/>
      <sz val="15"/>
      <color rgb="FF000000"/>
      <name val="Arial"/>
      <family val="2"/>
      <scheme val="minor"/>
    </font>
    <font>
      <sz val="15"/>
      <color rgb="FFC00000"/>
      <name val="Arial"/>
      <family val="2"/>
      <scheme val="minor"/>
    </font>
    <font>
      <sz val="15"/>
      <color rgb="FF0070C0"/>
      <name val="Arial"/>
      <family val="2"/>
      <scheme val="minor"/>
    </font>
    <font>
      <sz val="15"/>
      <color theme="2"/>
      <name val="Arial"/>
      <family val="2"/>
      <scheme val="minor"/>
    </font>
    <font>
      <sz val="15"/>
      <color theme="5"/>
      <name val="Arial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Arial"/>
      <family val="2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Segoe UI Emoji"/>
      <family val="2"/>
    </font>
    <font>
      <sz val="13"/>
      <color theme="5"/>
      <name val="맑은 고딕"/>
      <family val="3"/>
      <charset val="129"/>
    </font>
    <font>
      <b/>
      <sz val="9"/>
      <color rgb="FF000000"/>
      <name val="Arial"/>
      <family val="2"/>
      <scheme val="minor"/>
    </font>
    <font>
      <b/>
      <sz val="9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DFEAF5"/>
        <bgColor rgb="FFDFEAF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98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F0000"/>
      </left>
      <right style="thin">
        <color rgb="FFFFFFFF"/>
      </right>
      <top style="thick">
        <color rgb="FFFF0000"/>
      </top>
      <bottom style="thin">
        <color rgb="FFFFFFFF"/>
      </bottom>
      <diagonal/>
    </border>
    <border>
      <left/>
      <right style="thin">
        <color rgb="FFFFFFFF"/>
      </right>
      <top style="thick">
        <color rgb="FFFF0000"/>
      </top>
      <bottom/>
      <diagonal/>
    </border>
    <border>
      <left style="thin">
        <color rgb="FFFFFFFF"/>
      </left>
      <right style="thick">
        <color rgb="FFFF0000"/>
      </right>
      <top style="thick">
        <color rgb="FFFF0000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FF0000"/>
      </left>
      <right/>
      <top style="thin">
        <color rgb="FFFFFFFF"/>
      </top>
      <bottom style="thin">
        <color rgb="FFFFFFFF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/>
      <right style="thick">
        <color rgb="FFFF0000"/>
      </right>
      <top style="thin">
        <color rgb="FFFFFFFF"/>
      </top>
      <bottom style="thin">
        <color rgb="FFFFFFFF"/>
      </bottom>
      <diagonal/>
    </border>
    <border>
      <left style="thick">
        <color rgb="FFFF0000"/>
      </left>
      <right/>
      <top/>
      <bottom style="thin">
        <color rgb="FFFFFFFF"/>
      </bottom>
      <diagonal/>
    </border>
    <border>
      <left/>
      <right style="thick">
        <color rgb="FFFF0000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ck">
        <color rgb="FFFF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ck">
        <color rgb="FFFF0000"/>
      </right>
      <top/>
      <bottom style="thin">
        <color rgb="FFFFFFFF"/>
      </bottom>
      <diagonal/>
    </border>
    <border>
      <left style="thin">
        <color rgb="FF0000FF"/>
      </left>
      <right style="thin">
        <color rgb="FFFFFFFF"/>
      </right>
      <top style="thin">
        <color rgb="FF0000FF"/>
      </top>
      <bottom style="thin">
        <color rgb="FFFFFFFF"/>
      </bottom>
      <diagonal/>
    </border>
    <border>
      <left/>
      <right style="thin">
        <color rgb="FFFFFFFF"/>
      </right>
      <top style="thin">
        <color rgb="FF0000FF"/>
      </top>
      <bottom style="thin">
        <color rgb="FFFFFFFF"/>
      </bottom>
      <diagonal/>
    </border>
    <border>
      <left/>
      <right style="thin">
        <color rgb="FF0000FF"/>
      </right>
      <top style="thin">
        <color rgb="FF0000FF"/>
      </top>
      <bottom style="thin">
        <color rgb="FFFFFFFF"/>
      </bottom>
      <diagonal/>
    </border>
    <border>
      <left style="thin">
        <color rgb="FF0000FF"/>
      </left>
      <right/>
      <top/>
      <bottom style="thin">
        <color rgb="FFFFFFFF"/>
      </bottom>
      <diagonal/>
    </border>
    <border>
      <left/>
      <right style="thin">
        <color rgb="FF0000FF"/>
      </right>
      <top/>
      <bottom style="thin">
        <color rgb="FFFFFFFF"/>
      </bottom>
      <diagonal/>
    </border>
    <border>
      <left style="thin">
        <color rgb="FF0000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FF"/>
      </left>
      <right style="thin">
        <color rgb="FFEFEFEF"/>
      </right>
      <top/>
      <bottom style="thin">
        <color rgb="FFFFFFFF"/>
      </bottom>
      <diagonal/>
    </border>
    <border>
      <left style="thin">
        <color rgb="FFEFEFEF"/>
      </left>
      <right style="thin">
        <color rgb="FFEFEFEF"/>
      </right>
      <top/>
      <bottom style="thin">
        <color rgb="FFFFFFFF"/>
      </bottom>
      <diagonal/>
    </border>
    <border>
      <left style="thin">
        <color rgb="FFEFEFEF"/>
      </left>
      <right style="thin">
        <color rgb="FF0000FF"/>
      </right>
      <top/>
      <bottom style="thin">
        <color rgb="FFFFFFFF"/>
      </bottom>
      <diagonal/>
    </border>
    <border>
      <left style="thin">
        <color rgb="FFFFFFFF"/>
      </left>
      <right style="thick">
        <color rgb="FFFF0000"/>
      </right>
      <top style="thin">
        <color rgb="FFFFFFFF"/>
      </top>
      <bottom style="thin">
        <color rgb="FFFFFFFF"/>
      </bottom>
      <diagonal/>
    </border>
    <border>
      <left style="thin">
        <color rgb="FF0000FF"/>
      </left>
      <right style="thin">
        <color rgb="FFFFFFFF"/>
      </right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FF"/>
      </right>
      <top style="thin">
        <color rgb="FFFFFFFF"/>
      </top>
      <bottom/>
      <diagonal/>
    </border>
    <border>
      <left style="thin">
        <color rgb="FF0000FF"/>
      </left>
      <right style="thin">
        <color rgb="FFEFEFE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0000FF"/>
      </right>
      <top style="thin">
        <color rgb="FFFFFFFF"/>
      </top>
      <bottom style="thin">
        <color rgb="FFFFFFFF"/>
      </bottom>
      <diagonal/>
    </border>
    <border>
      <left style="thin">
        <color rgb="FF0000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0000FF"/>
      </right>
      <top style="thin">
        <color rgb="FFFFFFFF"/>
      </top>
      <bottom/>
      <diagonal/>
    </border>
    <border>
      <left style="thin">
        <color rgb="FF0000FF"/>
      </left>
      <right style="thin">
        <color rgb="FFFFFFFF"/>
      </right>
      <top style="thin">
        <color rgb="FF999999"/>
      </top>
      <bottom style="thin">
        <color rgb="FF0000FF"/>
      </bottom>
      <diagonal/>
    </border>
    <border>
      <left/>
      <right style="thin">
        <color rgb="FFFFFFFF"/>
      </right>
      <top style="thin">
        <color rgb="FF999999"/>
      </top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ck">
        <color rgb="FFFF0000"/>
      </left>
      <right style="thin">
        <color rgb="FFFFFFFF"/>
      </right>
      <top/>
      <bottom/>
      <diagonal/>
    </border>
    <border>
      <left style="thin">
        <color rgb="FFFFFFFF"/>
      </left>
      <right style="thick">
        <color rgb="FFFF0000"/>
      </right>
      <top/>
      <bottom/>
      <diagonal/>
    </border>
    <border>
      <left style="thick">
        <color rgb="FFFF0000"/>
      </left>
      <right style="thin">
        <color rgb="FFFFFFFF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rgb="FFFFFFFF"/>
      </right>
      <top/>
      <bottom style="thick">
        <color rgb="FFFF0000"/>
      </bottom>
      <diagonal/>
    </border>
    <border>
      <left style="thin">
        <color rgb="FFFFFFFF"/>
      </left>
      <right style="thick">
        <color rgb="FFFF0000"/>
      </right>
      <top/>
      <bottom style="thick">
        <color rgb="FFFF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FF"/>
      </left>
      <right style="thin">
        <color rgb="FFFFFFFF"/>
      </right>
      <top/>
      <bottom style="thin">
        <color rgb="FF0000FF"/>
      </bottom>
      <diagonal/>
    </border>
    <border>
      <left/>
      <right style="thin">
        <color rgb="FFFFFFFF"/>
      </right>
      <top/>
      <bottom style="thin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2" fillId="7" borderId="27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11" borderId="36" xfId="0" applyFont="1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12" borderId="40" xfId="0" applyFont="1" applyFill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12" borderId="4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3" borderId="0" xfId="0" applyFont="1" applyFill="1" applyAlignment="1">
      <alignment horizontal="center"/>
    </xf>
    <xf numFmtId="0" fontId="12" fillId="12" borderId="41" xfId="0" applyFont="1" applyFill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3" fillId="0" borderId="46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46" fontId="13" fillId="0" borderId="47" xfId="0" applyNumberFormat="1" applyFont="1" applyBorder="1" applyAlignment="1">
      <alignment vertical="center"/>
    </xf>
    <xf numFmtId="49" fontId="13" fillId="0" borderId="47" xfId="0" applyNumberFormat="1" applyFont="1" applyBorder="1" applyAlignment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vertical="center"/>
    </xf>
    <xf numFmtId="0" fontId="14" fillId="0" borderId="50" xfId="0" applyFont="1" applyBorder="1" applyAlignment="1">
      <alignment vertical="center"/>
    </xf>
    <xf numFmtId="0" fontId="14" fillId="14" borderId="51" xfId="0" applyFont="1" applyFill="1" applyBorder="1" applyAlignment="1">
      <alignment vertical="center"/>
    </xf>
    <xf numFmtId="46" fontId="14" fillId="14" borderId="51" xfId="0" applyNumberFormat="1" applyFont="1" applyFill="1" applyBorder="1" applyAlignment="1">
      <alignment vertical="center"/>
    </xf>
    <xf numFmtId="49" fontId="14" fillId="14" borderId="51" xfId="0" applyNumberFormat="1" applyFont="1" applyFill="1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49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14" borderId="51" xfId="0" applyFont="1" applyFill="1" applyBorder="1" applyAlignment="1">
      <alignment vertical="center"/>
    </xf>
    <xf numFmtId="46" fontId="15" fillId="14" borderId="51" xfId="0" applyNumberFormat="1" applyFont="1" applyFill="1" applyBorder="1" applyAlignment="1">
      <alignment vertical="center"/>
    </xf>
    <xf numFmtId="49" fontId="15" fillId="14" borderId="51" xfId="0" applyNumberFormat="1" applyFont="1" applyFill="1" applyBorder="1" applyAlignment="1">
      <alignment vertical="center"/>
    </xf>
    <xf numFmtId="0" fontId="15" fillId="0" borderId="52" xfId="0" applyFont="1" applyBorder="1" applyAlignment="1">
      <alignment horizontal="center" vertical="center"/>
    </xf>
    <xf numFmtId="0" fontId="15" fillId="0" borderId="49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vertical="center"/>
    </xf>
    <xf numFmtId="0" fontId="13" fillId="6" borderId="56" xfId="0" applyFont="1" applyFill="1" applyBorder="1" applyAlignment="1">
      <alignment vertical="center"/>
    </xf>
    <xf numFmtId="0" fontId="13" fillId="6" borderId="58" xfId="0" applyFont="1" applyFill="1" applyBorder="1" applyAlignment="1">
      <alignment horizontal="center" vertical="center"/>
    </xf>
    <xf numFmtId="0" fontId="13" fillId="6" borderId="55" xfId="0" applyFont="1" applyFill="1" applyBorder="1" applyAlignment="1">
      <alignment vertical="center"/>
    </xf>
    <xf numFmtId="0" fontId="13" fillId="6" borderId="57" xfId="0" applyFont="1" applyFill="1" applyBorder="1" applyAlignment="1">
      <alignment vertical="center"/>
    </xf>
    <xf numFmtId="46" fontId="13" fillId="6" borderId="57" xfId="0" applyNumberFormat="1" applyFont="1" applyFill="1" applyBorder="1" applyAlignment="1">
      <alignment vertical="center"/>
    </xf>
    <xf numFmtId="49" fontId="13" fillId="6" borderId="55" xfId="0" applyNumberFormat="1" applyFont="1" applyFill="1" applyBorder="1" applyAlignment="1">
      <alignment vertical="center"/>
    </xf>
    <xf numFmtId="0" fontId="13" fillId="6" borderId="59" xfId="0" applyFont="1" applyFill="1" applyBorder="1" applyAlignment="1">
      <alignment vertical="center"/>
    </xf>
    <xf numFmtId="46" fontId="13" fillId="6" borderId="60" xfId="0" applyNumberFormat="1" applyFont="1" applyFill="1" applyBorder="1" applyAlignment="1">
      <alignment vertical="center"/>
    </xf>
    <xf numFmtId="49" fontId="13" fillId="6" borderId="61" xfId="0" applyNumberFormat="1" applyFont="1" applyFill="1" applyBorder="1" applyAlignment="1">
      <alignment vertical="center"/>
    </xf>
    <xf numFmtId="0" fontId="13" fillId="6" borderId="53" xfId="0" applyFont="1" applyFill="1" applyBorder="1" applyAlignment="1">
      <alignment vertical="center"/>
    </xf>
    <xf numFmtId="0" fontId="13" fillId="6" borderId="54" xfId="0" applyFont="1" applyFill="1" applyBorder="1" applyAlignment="1">
      <alignment horizontal="center" vertical="center"/>
    </xf>
    <xf numFmtId="0" fontId="13" fillId="6" borderId="64" xfId="0" applyFont="1" applyFill="1" applyBorder="1" applyAlignment="1">
      <alignment vertical="center"/>
    </xf>
    <xf numFmtId="49" fontId="13" fillId="6" borderId="63" xfId="0" applyNumberFormat="1" applyFont="1" applyFill="1" applyBorder="1" applyAlignment="1">
      <alignment vertical="center"/>
    </xf>
    <xf numFmtId="0" fontId="17" fillId="8" borderId="65" xfId="0" applyFont="1" applyFill="1" applyBorder="1" applyAlignment="1">
      <alignment vertical="center"/>
    </xf>
    <xf numFmtId="0" fontId="15" fillId="8" borderId="66" xfId="0" applyFont="1" applyFill="1" applyBorder="1" applyAlignment="1">
      <alignment vertical="center"/>
    </xf>
    <xf numFmtId="0" fontId="17" fillId="8" borderId="67" xfId="0" applyFont="1" applyFill="1" applyBorder="1" applyAlignment="1">
      <alignment horizontal="center" vertical="center"/>
    </xf>
    <xf numFmtId="0" fontId="18" fillId="6" borderId="64" xfId="0" applyFont="1" applyFill="1" applyBorder="1" applyAlignment="1">
      <alignment vertical="center"/>
    </xf>
    <xf numFmtId="0" fontId="18" fillId="6" borderId="57" xfId="0" applyFont="1" applyFill="1" applyBorder="1" applyAlignment="1">
      <alignment horizontal="center" vertical="center"/>
    </xf>
    <xf numFmtId="0" fontId="13" fillId="6" borderId="63" xfId="0" applyFont="1" applyFill="1" applyBorder="1" applyAlignment="1">
      <alignment vertical="center"/>
    </xf>
    <xf numFmtId="0" fontId="15" fillId="0" borderId="68" xfId="0" applyFont="1" applyBorder="1" applyAlignment="1">
      <alignment horizontal="center" vertical="center"/>
    </xf>
    <xf numFmtId="0" fontId="19" fillId="0" borderId="49" xfId="0" applyFont="1" applyBorder="1"/>
    <xf numFmtId="0" fontId="19" fillId="0" borderId="55" xfId="0" applyFont="1" applyBorder="1"/>
    <xf numFmtId="0" fontId="15" fillId="0" borderId="58" xfId="0" applyFont="1" applyBorder="1" applyAlignment="1">
      <alignment horizontal="center" vertical="center"/>
    </xf>
    <xf numFmtId="0" fontId="19" fillId="6" borderId="55" xfId="0" applyFont="1" applyFill="1" applyBorder="1"/>
    <xf numFmtId="0" fontId="19" fillId="6" borderId="57" xfId="0" applyFont="1" applyFill="1" applyBorder="1"/>
    <xf numFmtId="0" fontId="18" fillId="6" borderId="69" xfId="0" applyFont="1" applyFill="1" applyBorder="1" applyAlignment="1">
      <alignment vertical="center"/>
    </xf>
    <xf numFmtId="0" fontId="13" fillId="6" borderId="70" xfId="0" applyFont="1" applyFill="1" applyBorder="1" applyAlignment="1">
      <alignment vertical="center"/>
    </xf>
    <xf numFmtId="0" fontId="18" fillId="6" borderId="71" xfId="0" applyFont="1" applyFill="1" applyBorder="1" applyAlignment="1">
      <alignment vertical="center"/>
    </xf>
    <xf numFmtId="0" fontId="13" fillId="6" borderId="72" xfId="0" applyFont="1" applyFill="1" applyBorder="1" applyAlignment="1">
      <alignment vertical="center"/>
    </xf>
    <xf numFmtId="0" fontId="17" fillId="8" borderId="73" xfId="0" applyFont="1" applyFill="1" applyBorder="1" applyAlignment="1">
      <alignment vertical="center"/>
    </xf>
    <xf numFmtId="0" fontId="15" fillId="8" borderId="74" xfId="0" applyFont="1" applyFill="1" applyBorder="1" applyAlignment="1">
      <alignment vertical="center"/>
    </xf>
    <xf numFmtId="0" fontId="17" fillId="8" borderId="75" xfId="0" applyFont="1" applyFill="1" applyBorder="1" applyAlignment="1">
      <alignment horizontal="center" vertical="center"/>
    </xf>
    <xf numFmtId="0" fontId="18" fillId="6" borderId="76" xfId="0" applyFont="1" applyFill="1" applyBorder="1" applyAlignment="1">
      <alignment vertical="center"/>
    </xf>
    <xf numFmtId="0" fontId="13" fillId="6" borderId="77" xfId="0" applyFont="1" applyFill="1" applyBorder="1" applyAlignment="1">
      <alignment vertical="center"/>
    </xf>
    <xf numFmtId="0" fontId="18" fillId="6" borderId="62" xfId="0" applyFont="1" applyFill="1" applyBorder="1" applyAlignment="1">
      <alignment vertical="center"/>
    </xf>
    <xf numFmtId="0" fontId="18" fillId="6" borderId="55" xfId="0" applyFont="1" applyFill="1" applyBorder="1" applyAlignment="1">
      <alignment horizontal="center" vertical="center"/>
    </xf>
    <xf numFmtId="0" fontId="18" fillId="6" borderId="78" xfId="0" applyFont="1" applyFill="1" applyBorder="1" applyAlignment="1">
      <alignment horizontal="center" vertical="center"/>
    </xf>
    <xf numFmtId="0" fontId="13" fillId="6" borderId="79" xfId="0" applyFont="1" applyFill="1" applyBorder="1" applyAlignment="1">
      <alignment vertical="center"/>
    </xf>
    <xf numFmtId="0" fontId="13" fillId="6" borderId="80" xfId="0" applyFont="1" applyFill="1" applyBorder="1" applyAlignment="1">
      <alignment vertical="center"/>
    </xf>
    <xf numFmtId="46" fontId="13" fillId="6" borderId="81" xfId="0" applyNumberFormat="1" applyFont="1" applyFill="1" applyBorder="1" applyAlignment="1">
      <alignment vertical="center"/>
    </xf>
    <xf numFmtId="0" fontId="20" fillId="15" borderId="82" xfId="0" applyFont="1" applyFill="1" applyBorder="1" applyAlignment="1">
      <alignment horizontal="center" vertical="center"/>
    </xf>
    <xf numFmtId="0" fontId="13" fillId="6" borderId="83" xfId="0" applyFont="1" applyFill="1" applyBorder="1" applyAlignment="1">
      <alignment vertical="center"/>
    </xf>
    <xf numFmtId="0" fontId="13" fillId="6" borderId="84" xfId="0" applyFont="1" applyFill="1" applyBorder="1" applyAlignment="1">
      <alignment horizontal="center" vertical="center"/>
    </xf>
    <xf numFmtId="0" fontId="13" fillId="6" borderId="85" xfId="0" applyFont="1" applyFill="1" applyBorder="1" applyAlignment="1">
      <alignment vertical="center"/>
    </xf>
    <xf numFmtId="0" fontId="13" fillId="6" borderId="88" xfId="0" applyFont="1" applyFill="1" applyBorder="1" applyAlignment="1">
      <alignment horizontal="center" vertical="center"/>
    </xf>
    <xf numFmtId="0" fontId="13" fillId="0" borderId="4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13" fillId="0" borderId="90" xfId="0" applyFont="1" applyBorder="1" applyAlignment="1">
      <alignment vertical="center"/>
    </xf>
    <xf numFmtId="46" fontId="13" fillId="0" borderId="90" xfId="0" applyNumberFormat="1" applyFont="1" applyBorder="1" applyAlignment="1">
      <alignment vertical="center"/>
    </xf>
    <xf numFmtId="49" fontId="13" fillId="0" borderId="90" xfId="0" applyNumberFormat="1" applyFont="1" applyBorder="1" applyAlignment="1">
      <alignment vertical="center"/>
    </xf>
    <xf numFmtId="0" fontId="13" fillId="0" borderId="91" xfId="0" applyFont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4" fillId="0" borderId="89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89" xfId="0" applyFont="1" applyBorder="1" applyAlignment="1">
      <alignment vertical="center"/>
    </xf>
    <xf numFmtId="0" fontId="15" fillId="0" borderId="54" xfId="0" applyFont="1" applyBorder="1" applyAlignment="1">
      <alignment vertical="center"/>
    </xf>
    <xf numFmtId="0" fontId="15" fillId="0" borderId="57" xfId="0" applyFont="1" applyBorder="1" applyAlignment="1">
      <alignment vertical="center"/>
    </xf>
    <xf numFmtId="0" fontId="13" fillId="6" borderId="58" xfId="0" applyFont="1" applyFill="1" applyBorder="1" applyAlignment="1">
      <alignment vertical="center"/>
    </xf>
    <xf numFmtId="0" fontId="13" fillId="6" borderId="92" xfId="0" applyFont="1" applyFill="1" applyBorder="1" applyAlignment="1">
      <alignment vertical="center"/>
    </xf>
    <xf numFmtId="0" fontId="13" fillId="6" borderId="54" xfId="0" applyFont="1" applyFill="1" applyBorder="1" applyAlignment="1">
      <alignment vertical="center"/>
    </xf>
    <xf numFmtId="0" fontId="14" fillId="0" borderId="58" xfId="0" applyFont="1" applyBorder="1" applyAlignment="1">
      <alignment vertical="center"/>
    </xf>
    <xf numFmtId="0" fontId="17" fillId="8" borderId="62" xfId="0" applyFont="1" applyFill="1" applyBorder="1" applyAlignment="1">
      <alignment vertical="center"/>
    </xf>
    <xf numFmtId="0" fontId="15" fillId="8" borderId="55" xfId="0" applyFont="1" applyFill="1" applyBorder="1" applyAlignment="1">
      <alignment vertical="center"/>
    </xf>
    <xf numFmtId="0" fontId="17" fillId="8" borderId="63" xfId="0" applyFont="1" applyFill="1" applyBorder="1" applyAlignment="1">
      <alignment horizontal="center" vertical="center"/>
    </xf>
    <xf numFmtId="0" fontId="18" fillId="6" borderId="64" xfId="0" quotePrefix="1" applyFont="1" applyFill="1" applyBorder="1" applyAlignment="1">
      <alignment vertical="center"/>
    </xf>
    <xf numFmtId="0" fontId="14" fillId="0" borderId="68" xfId="0" applyFont="1" applyBorder="1" applyAlignment="1">
      <alignment vertical="center"/>
    </xf>
    <xf numFmtId="0" fontId="15" fillId="0" borderId="68" xfId="0" applyFont="1" applyBorder="1" applyAlignment="1">
      <alignment vertical="center"/>
    </xf>
    <xf numFmtId="0" fontId="19" fillId="0" borderId="93" xfId="0" applyFont="1" applyBorder="1"/>
    <xf numFmtId="0" fontId="19" fillId="6" borderId="92" xfId="0" applyFont="1" applyFill="1" applyBorder="1"/>
    <xf numFmtId="0" fontId="15" fillId="0" borderId="58" xfId="0" applyFont="1" applyBorder="1" applyAlignment="1">
      <alignment vertical="center"/>
    </xf>
    <xf numFmtId="0" fontId="19" fillId="0" borderId="94" xfId="0" applyFont="1" applyBorder="1"/>
    <xf numFmtId="0" fontId="19" fillId="6" borderId="94" xfId="0" applyFont="1" applyFill="1" applyBorder="1"/>
    <xf numFmtId="0" fontId="16" fillId="6" borderId="57" xfId="0" applyFont="1" applyFill="1" applyBorder="1" applyAlignment="1">
      <alignment horizontal="right" vertical="center"/>
    </xf>
    <xf numFmtId="0" fontId="18" fillId="6" borderId="69" xfId="0" quotePrefix="1" applyFont="1" applyFill="1" applyBorder="1" applyAlignment="1">
      <alignment vertical="center"/>
    </xf>
    <xf numFmtId="0" fontId="13" fillId="6" borderId="95" xfId="0" applyFont="1" applyFill="1" applyBorder="1" applyAlignment="1">
      <alignment vertical="center"/>
    </xf>
    <xf numFmtId="46" fontId="13" fillId="6" borderId="96" xfId="0" applyNumberFormat="1" applyFont="1" applyFill="1" applyBorder="1" applyAlignment="1">
      <alignment vertical="center"/>
    </xf>
    <xf numFmtId="0" fontId="13" fillId="6" borderId="84" xfId="0" applyFont="1" applyFill="1" applyBorder="1" applyAlignment="1">
      <alignment vertical="center"/>
    </xf>
    <xf numFmtId="0" fontId="13" fillId="6" borderId="88" xfId="0" applyFont="1" applyFill="1" applyBorder="1" applyAlignment="1">
      <alignment vertical="center"/>
    </xf>
    <xf numFmtId="0" fontId="23" fillId="17" borderId="0" xfId="0" applyFont="1" applyFill="1" applyAlignment="1">
      <alignment horizontal="center"/>
    </xf>
    <xf numFmtId="0" fontId="0" fillId="0" borderId="97" xfId="0" applyBorder="1" applyAlignment="1">
      <alignment horizontal="center" vertical="center" wrapText="1"/>
    </xf>
    <xf numFmtId="0" fontId="0" fillId="0" borderId="97" xfId="0" applyBorder="1" applyAlignment="1">
      <alignment vertical="center" wrapText="1"/>
    </xf>
    <xf numFmtId="0" fontId="0" fillId="18" borderId="97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3" fillId="17" borderId="0" xfId="0" applyFont="1" applyFill="1" applyAlignment="1">
      <alignment horizontal="center" vertical="center" wrapText="1"/>
    </xf>
    <xf numFmtId="0" fontId="0" fillId="18" borderId="97" xfId="0" applyFill="1" applyBorder="1" applyAlignment="1">
      <alignment vertical="center" wrapText="1"/>
    </xf>
    <xf numFmtId="0" fontId="24" fillId="18" borderId="97" xfId="0" applyFont="1" applyFill="1" applyBorder="1" applyAlignment="1">
      <alignment horizontal="center" vertical="center" wrapText="1"/>
    </xf>
    <xf numFmtId="0" fontId="25" fillId="19" borderId="97" xfId="0" applyFont="1" applyFill="1" applyBorder="1" applyAlignment="1">
      <alignment horizontal="center" vertical="center" wrapText="1"/>
    </xf>
    <xf numFmtId="0" fontId="26" fillId="20" borderId="97" xfId="0" applyFont="1" applyFill="1" applyBorder="1" applyAlignment="1">
      <alignment horizontal="center" vertical="center" wrapText="1"/>
    </xf>
    <xf numFmtId="0" fontId="27" fillId="18" borderId="97" xfId="0" applyFont="1" applyFill="1" applyBorder="1" applyAlignment="1">
      <alignment horizontal="center" vertical="center" wrapText="1"/>
    </xf>
    <xf numFmtId="0" fontId="28" fillId="0" borderId="97" xfId="0" applyFont="1" applyBorder="1" applyAlignment="1">
      <alignment horizontal="center" vertical="center" wrapText="1"/>
    </xf>
    <xf numFmtId="0" fontId="29" fillId="0" borderId="97" xfId="0" applyFont="1" applyBorder="1" applyAlignment="1">
      <alignment horizontal="center" vertical="center" wrapText="1"/>
    </xf>
    <xf numFmtId="0" fontId="30" fillId="21" borderId="97" xfId="0" applyFont="1" applyFill="1" applyBorder="1" applyAlignment="1">
      <alignment horizontal="center" vertical="center" wrapText="1"/>
    </xf>
    <xf numFmtId="0" fontId="31" fillId="22" borderId="97" xfId="0" applyFont="1" applyFill="1" applyBorder="1" applyAlignment="1">
      <alignment horizontal="center" vertical="center" wrapText="1"/>
    </xf>
    <xf numFmtId="0" fontId="33" fillId="0" borderId="97" xfId="0" applyFont="1" applyBorder="1" applyAlignment="1">
      <alignment vertical="top" wrapText="1"/>
    </xf>
    <xf numFmtId="0" fontId="34" fillId="0" borderId="97" xfId="0" applyFont="1" applyBorder="1" applyAlignment="1">
      <alignment horizontal="left" vertical="top" wrapText="1"/>
    </xf>
    <xf numFmtId="0" fontId="33" fillId="0" borderId="97" xfId="0" applyFont="1" applyBorder="1" applyAlignment="1">
      <alignment horizontal="left" vertical="top" wrapText="1"/>
    </xf>
    <xf numFmtId="0" fontId="36" fillId="0" borderId="97" xfId="0" applyFont="1" applyBorder="1" applyAlignment="1">
      <alignment horizontal="center" vertical="top" wrapText="1"/>
    </xf>
    <xf numFmtId="0" fontId="36" fillId="0" borderId="97" xfId="0" applyFont="1" applyBorder="1" applyAlignment="1">
      <alignment vertical="top" wrapText="1"/>
    </xf>
    <xf numFmtId="0" fontId="22" fillId="16" borderId="0" xfId="0" applyFont="1" applyFill="1" applyAlignment="1">
      <alignment horizontal="center"/>
    </xf>
    <xf numFmtId="0" fontId="0" fillId="0" borderId="0" xfId="0"/>
    <xf numFmtId="0" fontId="8" fillId="8" borderId="28" xfId="0" applyFont="1" applyFill="1" applyBorder="1" applyAlignment="1">
      <alignment horizontal="center" vertic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6" fillId="5" borderId="11" xfId="0" applyFont="1" applyFill="1" applyBorder="1" applyAlignment="1">
      <alignment horizontal="center" vertical="center"/>
    </xf>
    <xf numFmtId="0" fontId="3" fillId="0" borderId="18" xfId="0" applyFont="1" applyBorder="1"/>
    <xf numFmtId="0" fontId="6" fillId="5" borderId="12" xfId="0" applyFont="1" applyFill="1" applyBorder="1" applyAlignment="1">
      <alignment horizontal="center" vertical="center"/>
    </xf>
    <xf numFmtId="0" fontId="3" fillId="0" borderId="19" xfId="0" applyFont="1" applyBorder="1"/>
    <xf numFmtId="0" fontId="7" fillId="0" borderId="12" xfId="0" applyFont="1" applyBorder="1" applyAlignment="1">
      <alignment vertical="center"/>
    </xf>
    <xf numFmtId="0" fontId="2" fillId="7" borderId="15" xfId="0" applyFont="1" applyFill="1" applyBorder="1" applyAlignment="1">
      <alignment horizontal="center" vertical="center"/>
    </xf>
    <xf numFmtId="0" fontId="3" fillId="0" borderId="7" xfId="0" applyFont="1" applyBorder="1"/>
    <xf numFmtId="0" fontId="8" fillId="8" borderId="16" xfId="0" applyFont="1" applyFill="1" applyBorder="1" applyAlignment="1">
      <alignment horizontal="center" vertical="center"/>
    </xf>
    <xf numFmtId="0" fontId="3" fillId="0" borderId="14" xfId="0" applyFont="1" applyBorder="1"/>
    <xf numFmtId="0" fontId="8" fillId="8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10" fillId="4" borderId="43" xfId="0" applyFont="1" applyFill="1" applyBorder="1" applyAlignment="1">
      <alignment horizontal="center"/>
    </xf>
    <xf numFmtId="0" fontId="3" fillId="0" borderId="43" xfId="0" applyFont="1" applyBorder="1"/>
    <xf numFmtId="0" fontId="3" fillId="0" borderId="41" xfId="0" applyFont="1" applyBorder="1"/>
    <xf numFmtId="0" fontId="10" fillId="0" borderId="0" xfId="0" applyFont="1" applyAlignment="1">
      <alignment horizontal="left"/>
    </xf>
    <xf numFmtId="0" fontId="10" fillId="4" borderId="30" xfId="0" applyFont="1" applyFill="1" applyBorder="1" applyAlignment="1">
      <alignment horizontal="center"/>
    </xf>
    <xf numFmtId="0" fontId="3" fillId="0" borderId="37" xfId="0" applyFont="1" applyBorder="1"/>
    <xf numFmtId="0" fontId="3" fillId="0" borderId="38" xfId="0" applyFont="1" applyBorder="1"/>
    <xf numFmtId="0" fontId="10" fillId="4" borderId="35" xfId="0" applyFont="1" applyFill="1" applyBorder="1" applyAlignment="1">
      <alignment horizontal="center"/>
    </xf>
    <xf numFmtId="0" fontId="15" fillId="8" borderId="62" xfId="0" applyFont="1" applyFill="1" applyBorder="1" applyAlignment="1">
      <alignment vertical="center"/>
    </xf>
    <xf numFmtId="0" fontId="3" fillId="0" borderId="55" xfId="0" applyFont="1" applyBorder="1"/>
    <xf numFmtId="0" fontId="3" fillId="0" borderId="63" xfId="0" applyFont="1" applyBorder="1"/>
    <xf numFmtId="0" fontId="16" fillId="6" borderId="55" xfId="0" applyFont="1" applyFill="1" applyBorder="1" applyAlignment="1">
      <alignment horizontal="left" vertical="center"/>
    </xf>
    <xf numFmtId="0" fontId="3" fillId="0" borderId="57" xfId="0" applyFont="1" applyBorder="1"/>
    <xf numFmtId="0" fontId="16" fillId="6" borderId="86" xfId="0" applyFont="1" applyFill="1" applyBorder="1" applyAlignment="1">
      <alignment horizontal="right" vertical="center"/>
    </xf>
    <xf numFmtId="0" fontId="3" fillId="0" borderId="86" xfId="0" applyFont="1" applyBorder="1"/>
    <xf numFmtId="0" fontId="3" fillId="0" borderId="87" xfId="0" applyFont="1" applyBorder="1"/>
    <xf numFmtId="0" fontId="16" fillId="6" borderId="55" xfId="0" applyFont="1" applyFill="1" applyBorder="1" applyAlignment="1">
      <alignment horizontal="right" vertical="center"/>
    </xf>
    <xf numFmtId="0" fontId="14" fillId="6" borderId="6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29D9AC-8854-402E-BC22-3EB962DBCD18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2a6631ff-472f-4fc0-9d17-d56abd6ab8b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7"/>
  <sheetViews>
    <sheetView workbookViewId="0">
      <selection activeCell="C14" sqref="C14"/>
    </sheetView>
  </sheetViews>
  <sheetFormatPr defaultColWidth="12.6640625" defaultRowHeight="15.75" customHeight="1"/>
  <cols>
    <col min="3" max="3" width="24.77734375" customWidth="1"/>
    <col min="4" max="4" width="4.109375" customWidth="1"/>
    <col min="5" max="7" width="10.109375" hidden="1" customWidth="1"/>
    <col min="8" max="17" width="10.109375" customWidth="1"/>
  </cols>
  <sheetData>
    <row r="1" spans="1:17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2">
      <c r="A2" s="1"/>
      <c r="B2" s="1"/>
      <c r="C2" s="1"/>
      <c r="D2" s="1"/>
      <c r="E2" s="171" t="s">
        <v>0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3"/>
      <c r="Q2" s="1"/>
    </row>
    <row r="3" spans="1:17" ht="22.5" customHeight="1">
      <c r="A3" s="2"/>
      <c r="B3" s="2"/>
      <c r="C3" s="3"/>
      <c r="D3" s="3"/>
      <c r="E3" s="4" t="s">
        <v>1</v>
      </c>
      <c r="F3" s="5" t="s">
        <v>2</v>
      </c>
      <c r="G3" s="5" t="s">
        <v>3</v>
      </c>
      <c r="H3" s="5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7" t="s">
        <v>12</v>
      </c>
      <c r="Q3" s="8" t="s">
        <v>13</v>
      </c>
    </row>
    <row r="4" spans="1:17" ht="22.5" customHeight="1">
      <c r="A4" s="174"/>
      <c r="B4" s="176" t="s">
        <v>14</v>
      </c>
      <c r="C4" s="178" t="s">
        <v>15</v>
      </c>
      <c r="D4" s="9">
        <v>160</v>
      </c>
      <c r="E4" s="10" t="s">
        <v>16</v>
      </c>
      <c r="F4" s="10"/>
      <c r="G4" s="10"/>
      <c r="H4" s="179"/>
      <c r="I4" s="11"/>
      <c r="J4" s="181" t="s">
        <v>17</v>
      </c>
      <c r="K4" s="182"/>
      <c r="L4" s="12"/>
      <c r="M4" s="12"/>
      <c r="N4" s="11"/>
      <c r="O4" s="11"/>
      <c r="P4" s="11"/>
      <c r="Q4" s="13">
        <v>25</v>
      </c>
    </row>
    <row r="5" spans="1:17" ht="22.5" customHeight="1">
      <c r="A5" s="175"/>
      <c r="B5" s="177"/>
      <c r="C5" s="177"/>
      <c r="D5" s="14">
        <v>160</v>
      </c>
      <c r="E5" s="15"/>
      <c r="F5" s="16"/>
      <c r="G5" s="16"/>
      <c r="H5" s="180"/>
      <c r="I5" s="17"/>
      <c r="J5" s="17"/>
      <c r="K5" s="18"/>
      <c r="L5" s="183" t="s">
        <v>18</v>
      </c>
      <c r="M5" s="184"/>
      <c r="N5" s="184"/>
      <c r="O5" s="185"/>
      <c r="P5" s="19"/>
      <c r="Q5" s="20">
        <v>25</v>
      </c>
    </row>
    <row r="6" spans="1:17" ht="22.5" customHeight="1">
      <c r="A6" s="21"/>
      <c r="B6" s="22" t="s">
        <v>19</v>
      </c>
      <c r="C6" s="23" t="s">
        <v>20</v>
      </c>
      <c r="D6" s="24">
        <v>80</v>
      </c>
      <c r="E6" s="10" t="s">
        <v>16</v>
      </c>
      <c r="F6" s="10"/>
      <c r="G6" s="10"/>
      <c r="H6" s="25"/>
      <c r="I6" s="169" t="s">
        <v>21</v>
      </c>
      <c r="J6" s="170"/>
      <c r="K6" s="17"/>
      <c r="L6" s="26"/>
      <c r="M6" s="26"/>
      <c r="N6" s="27"/>
      <c r="O6" s="27"/>
      <c r="P6" s="27"/>
      <c r="Q6" s="28">
        <v>25</v>
      </c>
    </row>
    <row r="7" spans="1:17" ht="13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</sheetData>
  <mergeCells count="8">
    <mergeCell ref="I6:J6"/>
    <mergeCell ref="E2:P2"/>
    <mergeCell ref="A4:A5"/>
    <mergeCell ref="B4:B5"/>
    <mergeCell ref="C4:C5"/>
    <mergeCell ref="H4:H5"/>
    <mergeCell ref="J4:K4"/>
    <mergeCell ref="L5:O5"/>
  </mergeCells>
  <phoneticPr fontId="21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8"/>
  <sheetViews>
    <sheetView workbookViewId="0">
      <selection sqref="A1:G1"/>
    </sheetView>
  </sheetViews>
  <sheetFormatPr defaultColWidth="12.6640625" defaultRowHeight="15.75" customHeight="1"/>
  <cols>
    <col min="1" max="9" width="5.109375" customWidth="1"/>
  </cols>
  <sheetData>
    <row r="1" spans="1:9" ht="13.2">
      <c r="A1" s="189" t="s">
        <v>22</v>
      </c>
      <c r="B1" s="168"/>
      <c r="C1" s="168"/>
      <c r="D1" s="168"/>
      <c r="E1" s="168"/>
      <c r="F1" s="168"/>
      <c r="G1" s="168"/>
      <c r="H1" s="29" t="s">
        <v>23</v>
      </c>
      <c r="I1" s="30"/>
    </row>
    <row r="2" spans="1:9" ht="13.2">
      <c r="A2" s="31" t="s">
        <v>24</v>
      </c>
      <c r="B2" s="32" t="s">
        <v>25</v>
      </c>
      <c r="C2" s="32" t="s">
        <v>26</v>
      </c>
      <c r="D2" s="32" t="s">
        <v>27</v>
      </c>
      <c r="E2" s="32" t="s">
        <v>28</v>
      </c>
      <c r="F2" s="32" t="s">
        <v>29</v>
      </c>
      <c r="G2" s="33" t="s">
        <v>30</v>
      </c>
      <c r="H2" s="34" t="s">
        <v>31</v>
      </c>
      <c r="I2" s="35"/>
    </row>
    <row r="3" spans="1:9" ht="13.2">
      <c r="A3" s="190" t="s">
        <v>4</v>
      </c>
      <c r="B3" s="191"/>
      <c r="C3" s="191"/>
      <c r="D3" s="191"/>
      <c r="E3" s="191"/>
      <c r="F3" s="191"/>
      <c r="G3" s="192"/>
      <c r="H3" s="36" t="s">
        <v>32</v>
      </c>
      <c r="I3" s="37"/>
    </row>
    <row r="4" spans="1:9" ht="15.75" customHeight="1">
      <c r="A4" s="38"/>
      <c r="B4" s="39"/>
      <c r="C4" s="39"/>
      <c r="D4" s="40">
        <v>1</v>
      </c>
      <c r="E4" s="40">
        <v>2</v>
      </c>
      <c r="F4" s="40">
        <v>3</v>
      </c>
      <c r="G4" s="40">
        <v>4</v>
      </c>
      <c r="H4" s="41" t="s">
        <v>33</v>
      </c>
      <c r="I4" s="42"/>
    </row>
    <row r="5" spans="1:9" ht="15.75" customHeight="1">
      <c r="A5" s="43">
        <v>5</v>
      </c>
      <c r="B5" s="40">
        <v>6</v>
      </c>
      <c r="C5" s="40">
        <v>7</v>
      </c>
      <c r="D5" s="40">
        <v>8</v>
      </c>
      <c r="E5" s="40">
        <v>9</v>
      </c>
      <c r="F5" s="40">
        <v>10</v>
      </c>
      <c r="G5" s="40">
        <v>11</v>
      </c>
      <c r="H5" s="41"/>
      <c r="I5" s="41"/>
    </row>
    <row r="6" spans="1:9" ht="15.75" customHeight="1">
      <c r="A6" s="43">
        <v>12</v>
      </c>
      <c r="B6" s="40">
        <v>13</v>
      </c>
      <c r="C6" s="40">
        <v>14</v>
      </c>
      <c r="D6" s="40">
        <v>15</v>
      </c>
      <c r="E6" s="40">
        <v>16</v>
      </c>
      <c r="F6" s="40">
        <v>17</v>
      </c>
      <c r="G6" s="40">
        <v>18</v>
      </c>
      <c r="H6" s="41"/>
      <c r="I6" s="41"/>
    </row>
    <row r="7" spans="1:9" ht="15.75" customHeight="1">
      <c r="A7" s="43">
        <v>19</v>
      </c>
      <c r="B7" s="40">
        <v>20</v>
      </c>
      <c r="C7" s="40">
        <v>21</v>
      </c>
      <c r="D7" s="40">
        <v>22</v>
      </c>
      <c r="E7" s="40">
        <v>23</v>
      </c>
      <c r="F7" s="40">
        <v>24</v>
      </c>
      <c r="G7" s="40">
        <v>25</v>
      </c>
      <c r="H7" s="41"/>
      <c r="I7" s="41"/>
    </row>
    <row r="8" spans="1:9" ht="15.75" customHeight="1">
      <c r="A8" s="44">
        <v>26</v>
      </c>
      <c r="B8" s="39">
        <v>27</v>
      </c>
      <c r="C8" s="39">
        <v>28</v>
      </c>
      <c r="D8" s="39">
        <v>29</v>
      </c>
      <c r="E8" s="39">
        <v>30</v>
      </c>
      <c r="F8" s="39"/>
      <c r="G8" s="39"/>
      <c r="H8" s="41"/>
      <c r="I8" s="41"/>
    </row>
    <row r="9" spans="1:9" ht="13.2">
      <c r="A9" s="193" t="s">
        <v>5</v>
      </c>
      <c r="B9" s="187"/>
      <c r="C9" s="187"/>
      <c r="D9" s="187"/>
      <c r="E9" s="187"/>
      <c r="F9" s="187"/>
      <c r="G9" s="188"/>
      <c r="H9" s="41"/>
      <c r="I9" s="41"/>
    </row>
    <row r="10" spans="1:9" ht="15.75" customHeight="1">
      <c r="A10" s="38"/>
      <c r="B10" s="39"/>
      <c r="C10" s="39"/>
      <c r="D10" s="39"/>
      <c r="E10" s="39"/>
      <c r="F10" s="42">
        <v>1</v>
      </c>
      <c r="G10" s="30">
        <v>2</v>
      </c>
      <c r="H10" s="41"/>
      <c r="I10" s="41"/>
    </row>
    <row r="11" spans="1:9" ht="15.75" customHeight="1">
      <c r="A11" s="44">
        <v>3</v>
      </c>
      <c r="B11" s="39">
        <v>4</v>
      </c>
      <c r="C11" s="45">
        <v>5</v>
      </c>
      <c r="D11" s="30">
        <v>6</v>
      </c>
      <c r="E11" s="42">
        <v>7</v>
      </c>
      <c r="F11" s="42">
        <v>8</v>
      </c>
      <c r="G11" s="30">
        <v>9</v>
      </c>
      <c r="H11" s="41"/>
      <c r="I11" s="41"/>
    </row>
    <row r="12" spans="1:9" ht="15.75" customHeight="1">
      <c r="A12" s="44">
        <v>10</v>
      </c>
      <c r="B12" s="39">
        <v>11</v>
      </c>
      <c r="C12" s="30">
        <v>12</v>
      </c>
      <c r="D12" s="30">
        <v>13</v>
      </c>
      <c r="E12" s="42">
        <v>14</v>
      </c>
      <c r="F12" s="42">
        <v>15</v>
      </c>
      <c r="G12" s="30">
        <v>16</v>
      </c>
      <c r="H12" s="41"/>
      <c r="I12" s="41"/>
    </row>
    <row r="13" spans="1:9" ht="15.75" customHeight="1">
      <c r="A13" s="44">
        <v>17</v>
      </c>
      <c r="B13" s="35">
        <v>18</v>
      </c>
      <c r="C13" s="30">
        <v>19</v>
      </c>
      <c r="D13" s="30">
        <v>20</v>
      </c>
      <c r="E13" s="42">
        <v>21</v>
      </c>
      <c r="F13" s="42">
        <v>22</v>
      </c>
      <c r="G13" s="30">
        <v>23</v>
      </c>
      <c r="H13" s="41"/>
      <c r="I13" s="41"/>
    </row>
    <row r="14" spans="1:9" ht="15.75" customHeight="1">
      <c r="A14" s="44">
        <v>24</v>
      </c>
      <c r="B14" s="45">
        <v>25</v>
      </c>
      <c r="C14" s="30">
        <v>26</v>
      </c>
      <c r="D14" s="30">
        <v>27</v>
      </c>
      <c r="E14" s="42">
        <v>28</v>
      </c>
      <c r="F14" s="42">
        <v>29</v>
      </c>
      <c r="G14" s="30">
        <v>30</v>
      </c>
      <c r="H14" s="41"/>
      <c r="I14" s="41"/>
    </row>
    <row r="15" spans="1:9" ht="15.75" customHeight="1">
      <c r="A15" s="44">
        <v>31</v>
      </c>
      <c r="B15" s="39"/>
      <c r="C15" s="39"/>
      <c r="D15" s="39"/>
      <c r="E15" s="39"/>
      <c r="F15" s="39"/>
      <c r="G15" s="39"/>
      <c r="H15" s="41"/>
      <c r="I15" s="41"/>
    </row>
    <row r="16" spans="1:9" ht="13.2">
      <c r="A16" s="193" t="s">
        <v>6</v>
      </c>
      <c r="B16" s="187"/>
      <c r="C16" s="187"/>
      <c r="D16" s="187"/>
      <c r="E16" s="187"/>
      <c r="F16" s="187"/>
      <c r="G16" s="188"/>
      <c r="H16" s="41"/>
      <c r="I16" s="41"/>
    </row>
    <row r="17" spans="1:9" ht="15.75" customHeight="1">
      <c r="A17" s="38"/>
      <c r="B17" s="30">
        <v>1</v>
      </c>
      <c r="C17" s="30">
        <v>2</v>
      </c>
      <c r="D17" s="45">
        <v>3</v>
      </c>
      <c r="E17" s="42">
        <v>4</v>
      </c>
      <c r="F17" s="42">
        <v>5</v>
      </c>
      <c r="G17" s="45">
        <v>6</v>
      </c>
      <c r="H17" s="41"/>
      <c r="I17" s="41"/>
    </row>
    <row r="18" spans="1:9" ht="15.75" customHeight="1">
      <c r="A18" s="44">
        <v>7</v>
      </c>
      <c r="B18" s="30">
        <v>8</v>
      </c>
      <c r="C18" s="30">
        <v>9</v>
      </c>
      <c r="D18" s="30">
        <v>10</v>
      </c>
      <c r="E18" s="42">
        <v>11</v>
      </c>
      <c r="F18" s="42">
        <v>12</v>
      </c>
      <c r="G18" s="30">
        <v>13</v>
      </c>
      <c r="H18" s="41"/>
      <c r="I18" s="41"/>
    </row>
    <row r="19" spans="1:9" ht="15.75" customHeight="1">
      <c r="A19" s="44">
        <v>14</v>
      </c>
      <c r="B19" s="30">
        <v>15</v>
      </c>
      <c r="C19" s="30">
        <v>16</v>
      </c>
      <c r="D19" s="30">
        <v>17</v>
      </c>
      <c r="E19" s="42">
        <v>18</v>
      </c>
      <c r="F19" s="42">
        <v>19</v>
      </c>
      <c r="G19" s="30">
        <v>20</v>
      </c>
      <c r="H19" s="41"/>
      <c r="I19" s="41"/>
    </row>
    <row r="20" spans="1:9" ht="15.75" customHeight="1">
      <c r="A20" s="44">
        <v>21</v>
      </c>
      <c r="B20" s="30">
        <v>22</v>
      </c>
      <c r="C20" s="30">
        <v>23</v>
      </c>
      <c r="D20" s="30">
        <v>24</v>
      </c>
      <c r="E20" s="42">
        <v>25</v>
      </c>
      <c r="F20" s="42">
        <v>26</v>
      </c>
      <c r="G20" s="30">
        <v>27</v>
      </c>
      <c r="H20" s="41"/>
      <c r="I20" s="41"/>
    </row>
    <row r="21" spans="1:9" ht="13.2">
      <c r="A21" s="44">
        <v>28</v>
      </c>
      <c r="B21" s="39">
        <v>29</v>
      </c>
      <c r="C21" s="39">
        <v>30</v>
      </c>
      <c r="D21" s="39"/>
      <c r="E21" s="39"/>
      <c r="F21" s="39"/>
      <c r="G21" s="39"/>
      <c r="H21" s="41"/>
      <c r="I21" s="41"/>
    </row>
    <row r="22" spans="1:9" ht="13.2">
      <c r="A22" s="193" t="s">
        <v>7</v>
      </c>
      <c r="B22" s="187"/>
      <c r="C22" s="187"/>
      <c r="D22" s="187"/>
      <c r="E22" s="187"/>
      <c r="F22" s="187"/>
      <c r="G22" s="188"/>
      <c r="H22" s="41"/>
      <c r="I22" s="41"/>
    </row>
    <row r="23" spans="1:9" ht="13.2">
      <c r="A23" s="38"/>
      <c r="B23" s="39"/>
      <c r="C23" s="39"/>
      <c r="D23" s="30">
        <v>1</v>
      </c>
      <c r="E23" s="42">
        <v>2</v>
      </c>
      <c r="F23" s="42">
        <v>3</v>
      </c>
      <c r="G23" s="30">
        <v>4</v>
      </c>
      <c r="H23" s="41"/>
      <c r="I23" s="41"/>
    </row>
    <row r="24" spans="1:9" ht="13.2">
      <c r="A24" s="44">
        <v>5</v>
      </c>
      <c r="B24" s="30">
        <v>6</v>
      </c>
      <c r="C24" s="30">
        <v>7</v>
      </c>
      <c r="D24" s="30">
        <v>8</v>
      </c>
      <c r="E24" s="42">
        <v>9</v>
      </c>
      <c r="F24" s="42">
        <v>10</v>
      </c>
      <c r="G24" s="30">
        <v>11</v>
      </c>
      <c r="H24" s="41"/>
      <c r="I24" s="41"/>
    </row>
    <row r="25" spans="1:9" ht="13.2">
      <c r="A25" s="44">
        <v>12</v>
      </c>
      <c r="B25" s="30">
        <v>13</v>
      </c>
      <c r="C25" s="30">
        <v>14</v>
      </c>
      <c r="D25" s="30">
        <v>15</v>
      </c>
      <c r="E25" s="39">
        <v>16</v>
      </c>
      <c r="F25" s="39">
        <v>17</v>
      </c>
      <c r="G25" s="39">
        <v>18</v>
      </c>
      <c r="H25" s="41"/>
      <c r="I25" s="41"/>
    </row>
    <row r="26" spans="1:9" ht="13.2">
      <c r="A26" s="44">
        <v>19</v>
      </c>
      <c r="B26" s="37">
        <v>20</v>
      </c>
      <c r="C26" s="37">
        <v>21</v>
      </c>
      <c r="D26" s="37">
        <v>22</v>
      </c>
      <c r="E26" s="37">
        <v>23</v>
      </c>
      <c r="F26" s="37">
        <v>24</v>
      </c>
      <c r="G26" s="39">
        <v>25</v>
      </c>
      <c r="H26" s="41"/>
      <c r="I26" s="41"/>
    </row>
    <row r="27" spans="1:9" ht="13.2">
      <c r="A27" s="44">
        <v>26</v>
      </c>
      <c r="B27" s="37">
        <v>27</v>
      </c>
      <c r="C27" s="37">
        <v>28</v>
      </c>
      <c r="D27" s="37">
        <v>29</v>
      </c>
      <c r="E27" s="37">
        <v>30</v>
      </c>
      <c r="F27" s="37">
        <v>31</v>
      </c>
      <c r="G27" s="39"/>
      <c r="H27" s="41"/>
      <c r="I27" s="41"/>
    </row>
    <row r="28" spans="1:9" ht="13.2">
      <c r="A28" s="193" t="s">
        <v>8</v>
      </c>
      <c r="B28" s="187"/>
      <c r="C28" s="187"/>
      <c r="D28" s="187"/>
      <c r="E28" s="187"/>
      <c r="F28" s="187"/>
      <c r="G28" s="188"/>
      <c r="H28" s="41"/>
      <c r="I28" s="41"/>
    </row>
    <row r="29" spans="1:9" ht="13.2">
      <c r="A29" s="38"/>
      <c r="B29" s="39"/>
      <c r="C29" s="39"/>
      <c r="D29" s="39"/>
      <c r="E29" s="39"/>
      <c r="F29" s="39"/>
      <c r="G29" s="39">
        <v>1</v>
      </c>
      <c r="H29" s="41"/>
      <c r="I29" s="41"/>
    </row>
    <row r="30" spans="1:9" ht="13.2">
      <c r="A30" s="44">
        <v>2</v>
      </c>
      <c r="B30" s="37">
        <v>3</v>
      </c>
      <c r="C30" s="37">
        <v>4</v>
      </c>
      <c r="D30" s="37">
        <v>5</v>
      </c>
      <c r="E30" s="37">
        <v>6</v>
      </c>
      <c r="F30" s="37">
        <v>7</v>
      </c>
      <c r="G30" s="39">
        <v>8</v>
      </c>
      <c r="H30" s="41"/>
      <c r="I30" s="41"/>
    </row>
    <row r="31" spans="1:9" ht="13.2">
      <c r="A31" s="44">
        <v>9</v>
      </c>
      <c r="B31" s="37">
        <v>10</v>
      </c>
      <c r="C31" s="37">
        <v>11</v>
      </c>
      <c r="D31" s="37">
        <v>12</v>
      </c>
      <c r="E31" s="37">
        <v>13</v>
      </c>
      <c r="F31" s="37">
        <v>14</v>
      </c>
      <c r="G31" s="45">
        <v>15</v>
      </c>
      <c r="H31" s="41"/>
      <c r="I31" s="41"/>
    </row>
    <row r="32" spans="1:9" ht="13.2">
      <c r="A32" s="44">
        <v>16</v>
      </c>
      <c r="B32" s="45">
        <v>17</v>
      </c>
      <c r="C32" s="37">
        <v>18</v>
      </c>
      <c r="D32" s="37">
        <v>19</v>
      </c>
      <c r="E32" s="37">
        <v>20</v>
      </c>
      <c r="F32" s="37">
        <v>21</v>
      </c>
      <c r="G32" s="39">
        <v>22</v>
      </c>
      <c r="H32" s="41"/>
      <c r="I32" s="41"/>
    </row>
    <row r="33" spans="1:9" ht="13.2">
      <c r="A33" s="44">
        <v>23</v>
      </c>
      <c r="B33" s="39">
        <v>24</v>
      </c>
      <c r="C33" s="39">
        <v>25</v>
      </c>
      <c r="D33" s="39">
        <v>26</v>
      </c>
      <c r="E33" s="42">
        <v>27</v>
      </c>
      <c r="F33" s="42">
        <v>28</v>
      </c>
      <c r="G33" s="30">
        <v>29</v>
      </c>
      <c r="H33" s="41"/>
      <c r="I33" s="41"/>
    </row>
    <row r="34" spans="1:9" ht="13.2">
      <c r="A34" s="44">
        <v>30</v>
      </c>
      <c r="B34" s="39">
        <v>31</v>
      </c>
      <c r="C34" s="39"/>
      <c r="D34" s="39"/>
      <c r="E34" s="39"/>
      <c r="F34" s="39"/>
      <c r="G34" s="39"/>
      <c r="H34" s="41"/>
      <c r="I34" s="41"/>
    </row>
    <row r="35" spans="1:9" ht="13.2">
      <c r="A35" s="186" t="s">
        <v>9</v>
      </c>
      <c r="B35" s="187"/>
      <c r="C35" s="187"/>
      <c r="D35" s="187"/>
      <c r="E35" s="187"/>
      <c r="F35" s="187"/>
      <c r="G35" s="188"/>
      <c r="H35" s="41"/>
      <c r="I35" s="41"/>
    </row>
    <row r="36" spans="1:9" ht="13.2">
      <c r="A36" s="38"/>
      <c r="B36" s="39"/>
      <c r="C36" s="30">
        <v>1</v>
      </c>
      <c r="D36" s="30">
        <v>2</v>
      </c>
      <c r="E36" s="42">
        <v>3</v>
      </c>
      <c r="F36" s="42">
        <v>4</v>
      </c>
      <c r="G36" s="30">
        <v>5</v>
      </c>
      <c r="H36" s="41"/>
      <c r="I36" s="41"/>
    </row>
    <row r="37" spans="1:9" ht="13.2">
      <c r="A37" s="44">
        <v>6</v>
      </c>
      <c r="B37" s="30">
        <v>7</v>
      </c>
      <c r="C37" s="30">
        <v>8</v>
      </c>
      <c r="D37" s="30">
        <v>9</v>
      </c>
      <c r="E37" s="42">
        <v>10</v>
      </c>
      <c r="F37" s="42">
        <v>11</v>
      </c>
      <c r="G37" s="30">
        <v>12</v>
      </c>
      <c r="H37" s="41"/>
      <c r="I37" s="41"/>
    </row>
    <row r="38" spans="1:9" ht="13.2">
      <c r="A38" s="44">
        <v>13</v>
      </c>
      <c r="B38" s="30">
        <v>14</v>
      </c>
      <c r="C38" s="30">
        <v>15</v>
      </c>
      <c r="D38" s="30">
        <v>16</v>
      </c>
      <c r="E38" s="42">
        <v>17</v>
      </c>
      <c r="F38" s="42">
        <v>18</v>
      </c>
      <c r="G38" s="30">
        <v>19</v>
      </c>
      <c r="H38" s="41"/>
      <c r="I38" s="41"/>
    </row>
    <row r="39" spans="1:9" ht="13.2">
      <c r="A39" s="44">
        <v>20</v>
      </c>
      <c r="B39" s="30">
        <v>21</v>
      </c>
      <c r="C39" s="30">
        <v>22</v>
      </c>
      <c r="D39" s="30">
        <v>23</v>
      </c>
      <c r="E39" s="45">
        <v>24</v>
      </c>
      <c r="F39" s="45">
        <v>25</v>
      </c>
      <c r="G39" s="45">
        <v>26</v>
      </c>
      <c r="H39" s="41"/>
      <c r="I39" s="41"/>
    </row>
    <row r="40" spans="1:9" ht="13.2">
      <c r="A40" s="44">
        <v>27</v>
      </c>
      <c r="B40" s="30">
        <v>28</v>
      </c>
      <c r="C40" s="30">
        <v>29</v>
      </c>
      <c r="D40" s="30">
        <v>30</v>
      </c>
      <c r="E40" s="39"/>
      <c r="F40" s="39"/>
      <c r="G40" s="39"/>
      <c r="H40" s="41"/>
      <c r="I40" s="41"/>
    </row>
    <row r="41" spans="1:9" ht="13.2">
      <c r="A41" s="186" t="s">
        <v>10</v>
      </c>
      <c r="B41" s="187"/>
      <c r="C41" s="187"/>
      <c r="D41" s="187"/>
      <c r="E41" s="187"/>
      <c r="F41" s="187"/>
      <c r="G41" s="188"/>
      <c r="H41" s="41"/>
      <c r="I41" s="41"/>
    </row>
    <row r="42" spans="1:9" ht="13.2">
      <c r="A42" s="38"/>
      <c r="B42" s="39"/>
      <c r="C42" s="39"/>
      <c r="D42" s="39"/>
      <c r="E42" s="42">
        <v>1</v>
      </c>
      <c r="F42" s="42">
        <v>2</v>
      </c>
      <c r="G42" s="45">
        <v>3</v>
      </c>
      <c r="H42" s="41"/>
      <c r="I42" s="41"/>
    </row>
    <row r="43" spans="1:9" ht="13.2">
      <c r="A43" s="44">
        <v>4</v>
      </c>
      <c r="B43" s="45">
        <v>5</v>
      </c>
      <c r="C43" s="30">
        <v>6</v>
      </c>
      <c r="D43" s="30">
        <v>7</v>
      </c>
      <c r="E43" s="42">
        <v>8</v>
      </c>
      <c r="F43" s="45">
        <v>9</v>
      </c>
      <c r="G43" s="30">
        <v>10</v>
      </c>
      <c r="H43" s="41"/>
      <c r="I43" s="41"/>
    </row>
    <row r="44" spans="1:9" ht="13.2">
      <c r="A44" s="44">
        <v>11</v>
      </c>
      <c r="B44" s="30">
        <v>12</v>
      </c>
      <c r="C44" s="30">
        <v>13</v>
      </c>
      <c r="D44" s="30">
        <v>14</v>
      </c>
      <c r="E44" s="42">
        <v>15</v>
      </c>
      <c r="F44" s="42">
        <v>16</v>
      </c>
      <c r="G44" s="30">
        <v>17</v>
      </c>
      <c r="H44" s="41"/>
      <c r="I44" s="41"/>
    </row>
    <row r="45" spans="1:9" ht="13.2">
      <c r="A45" s="44">
        <v>18</v>
      </c>
      <c r="B45" s="30">
        <v>19</v>
      </c>
      <c r="C45" s="30">
        <v>20</v>
      </c>
      <c r="D45" s="30">
        <v>21</v>
      </c>
      <c r="E45" s="42">
        <v>22</v>
      </c>
      <c r="F45" s="42">
        <v>23</v>
      </c>
      <c r="G45" s="30">
        <v>24</v>
      </c>
      <c r="H45" s="41"/>
      <c r="I45" s="41"/>
    </row>
    <row r="46" spans="1:9" ht="13.2">
      <c r="A46" s="44">
        <v>25</v>
      </c>
      <c r="B46" s="30">
        <v>26</v>
      </c>
      <c r="C46" s="30">
        <v>27</v>
      </c>
      <c r="D46" s="30">
        <v>28</v>
      </c>
      <c r="E46" s="42">
        <v>29</v>
      </c>
      <c r="F46" s="42">
        <v>30</v>
      </c>
      <c r="G46" s="30">
        <v>31</v>
      </c>
      <c r="H46" s="41"/>
      <c r="I46" s="41"/>
    </row>
    <row r="47" spans="1:9" ht="13.2">
      <c r="A47" s="186" t="s">
        <v>11</v>
      </c>
      <c r="B47" s="187"/>
      <c r="C47" s="187"/>
      <c r="D47" s="187"/>
      <c r="E47" s="187"/>
      <c r="F47" s="187"/>
      <c r="G47" s="188"/>
      <c r="H47" s="41"/>
      <c r="I47" s="41"/>
    </row>
    <row r="48" spans="1:9" ht="13.2">
      <c r="A48" s="44">
        <v>1</v>
      </c>
      <c r="B48" s="30">
        <v>2</v>
      </c>
      <c r="C48" s="30">
        <v>3</v>
      </c>
      <c r="D48" s="30">
        <v>4</v>
      </c>
      <c r="E48" s="42">
        <v>5</v>
      </c>
      <c r="F48" s="42">
        <v>6</v>
      </c>
      <c r="G48" s="30">
        <v>7</v>
      </c>
      <c r="H48" s="41"/>
      <c r="I48" s="41"/>
    </row>
    <row r="49" spans="1:9" ht="13.2">
      <c r="A49" s="44">
        <v>8</v>
      </c>
      <c r="B49" s="30">
        <v>9</v>
      </c>
      <c r="C49" s="30">
        <v>10</v>
      </c>
      <c r="D49" s="30">
        <v>11</v>
      </c>
      <c r="E49" s="42">
        <v>12</v>
      </c>
      <c r="F49" s="42">
        <v>13</v>
      </c>
      <c r="G49" s="30">
        <v>14</v>
      </c>
      <c r="H49" s="41"/>
      <c r="I49" s="41"/>
    </row>
    <row r="50" spans="1:9" ht="13.2">
      <c r="A50" s="44">
        <v>15</v>
      </c>
      <c r="B50" s="30">
        <v>16</v>
      </c>
      <c r="C50" s="30">
        <v>17</v>
      </c>
      <c r="D50" s="30">
        <v>18</v>
      </c>
      <c r="E50" s="42">
        <v>19</v>
      </c>
      <c r="F50" s="42">
        <v>20</v>
      </c>
      <c r="G50" s="30">
        <v>21</v>
      </c>
      <c r="H50" s="41"/>
      <c r="I50" s="41"/>
    </row>
    <row r="51" spans="1:9" ht="13.2">
      <c r="A51" s="44">
        <v>22</v>
      </c>
      <c r="B51" s="30">
        <v>23</v>
      </c>
      <c r="C51" s="30">
        <v>24</v>
      </c>
      <c r="D51" s="30">
        <v>25</v>
      </c>
      <c r="E51" s="42">
        <v>26</v>
      </c>
      <c r="F51" s="42">
        <v>27</v>
      </c>
      <c r="G51" s="30">
        <v>28</v>
      </c>
      <c r="H51" s="41"/>
      <c r="I51" s="41"/>
    </row>
    <row r="52" spans="1:9" ht="13.2">
      <c r="A52" s="44">
        <v>29</v>
      </c>
      <c r="B52" s="30">
        <v>30</v>
      </c>
      <c r="C52" s="30">
        <v>31</v>
      </c>
      <c r="D52" s="39"/>
      <c r="E52" s="39"/>
      <c r="F52" s="39"/>
      <c r="G52" s="39"/>
      <c r="H52" s="41"/>
      <c r="I52" s="41"/>
    </row>
    <row r="53" spans="1:9" ht="13.2">
      <c r="A53" s="186" t="s">
        <v>12</v>
      </c>
      <c r="B53" s="187"/>
      <c r="C53" s="187"/>
      <c r="D53" s="187"/>
      <c r="E53" s="187"/>
      <c r="F53" s="187"/>
      <c r="G53" s="188"/>
      <c r="H53" s="41"/>
      <c r="I53" s="41"/>
    </row>
    <row r="54" spans="1:9" ht="13.2">
      <c r="A54" s="38"/>
      <c r="B54" s="39"/>
      <c r="C54" s="39">
        <v>1</v>
      </c>
      <c r="D54" s="39">
        <v>2</v>
      </c>
      <c r="E54" s="39">
        <v>3</v>
      </c>
      <c r="F54" s="39">
        <v>4</v>
      </c>
      <c r="G54" s="39">
        <v>5</v>
      </c>
      <c r="H54" s="41"/>
      <c r="I54" s="41"/>
    </row>
    <row r="55" spans="1:9" ht="13.2">
      <c r="A55" s="44">
        <v>6</v>
      </c>
      <c r="B55" s="39">
        <v>7</v>
      </c>
      <c r="C55" s="39">
        <v>8</v>
      </c>
      <c r="D55" s="39">
        <v>9</v>
      </c>
      <c r="E55" s="39">
        <v>10</v>
      </c>
      <c r="F55" s="39">
        <v>11</v>
      </c>
      <c r="G55" s="39">
        <v>12</v>
      </c>
      <c r="H55" s="41"/>
      <c r="I55" s="41"/>
    </row>
    <row r="56" spans="1:9" ht="13.2">
      <c r="A56" s="44">
        <v>13</v>
      </c>
      <c r="B56" s="39">
        <v>14</v>
      </c>
      <c r="C56" s="39">
        <v>15</v>
      </c>
      <c r="D56" s="39">
        <v>16</v>
      </c>
      <c r="E56" s="39">
        <v>17</v>
      </c>
      <c r="F56" s="39">
        <v>18</v>
      </c>
      <c r="G56" s="39">
        <v>19</v>
      </c>
      <c r="H56" s="41"/>
      <c r="I56" s="41"/>
    </row>
    <row r="57" spans="1:9" ht="13.2">
      <c r="A57" s="44">
        <v>20</v>
      </c>
      <c r="B57" s="39">
        <v>21</v>
      </c>
      <c r="C57" s="39">
        <v>22</v>
      </c>
      <c r="D57" s="39">
        <v>23</v>
      </c>
      <c r="E57" s="39">
        <v>24</v>
      </c>
      <c r="F57" s="45">
        <v>25</v>
      </c>
      <c r="G57" s="39">
        <v>26</v>
      </c>
      <c r="H57" s="41"/>
      <c r="I57" s="41"/>
    </row>
    <row r="58" spans="1:9" ht="13.2">
      <c r="A58" s="46">
        <v>27</v>
      </c>
      <c r="B58" s="47">
        <v>28</v>
      </c>
      <c r="C58" s="47">
        <v>29</v>
      </c>
      <c r="D58" s="47">
        <v>30</v>
      </c>
      <c r="E58" s="47">
        <v>31</v>
      </c>
      <c r="F58" s="47"/>
      <c r="G58" s="47"/>
      <c r="H58" s="41"/>
      <c r="I58" s="41"/>
    </row>
  </sheetData>
  <mergeCells count="10">
    <mergeCell ref="A41:G41"/>
    <mergeCell ref="A47:G47"/>
    <mergeCell ref="A53:G53"/>
    <mergeCell ref="A1:G1"/>
    <mergeCell ref="A3:G3"/>
    <mergeCell ref="A9:G9"/>
    <mergeCell ref="A16:G16"/>
    <mergeCell ref="A22:G22"/>
    <mergeCell ref="A28:G28"/>
    <mergeCell ref="A35:G35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F78"/>
  <sheetViews>
    <sheetView tabSelected="1" topLeftCell="A44" zoomScale="130" zoomScaleNormal="130" workbookViewId="0">
      <selection activeCell="H48" sqref="H48"/>
    </sheetView>
  </sheetViews>
  <sheetFormatPr defaultColWidth="12.6640625" defaultRowHeight="15.75" customHeight="1"/>
  <cols>
    <col min="1" max="1" width="3.88671875" customWidth="1"/>
    <col min="2" max="2" width="56.33203125" customWidth="1"/>
    <col min="3" max="4" width="8.88671875" customWidth="1"/>
    <col min="5" max="6" width="3.88671875" customWidth="1"/>
  </cols>
  <sheetData>
    <row r="1" spans="1:6" ht="15.75" customHeight="1">
      <c r="A1" s="48"/>
      <c r="B1" s="49"/>
      <c r="C1" s="50"/>
      <c r="D1" s="51"/>
      <c r="E1" s="52"/>
      <c r="F1" s="53"/>
    </row>
    <row r="2" spans="1:6" ht="15.75" customHeight="1">
      <c r="A2" s="54"/>
      <c r="B2" s="55" t="s">
        <v>34</v>
      </c>
      <c r="C2" s="56"/>
      <c r="D2" s="57"/>
      <c r="E2" s="58"/>
      <c r="F2" s="59"/>
    </row>
    <row r="3" spans="1:6" ht="15.75" customHeight="1">
      <c r="A3" s="60"/>
      <c r="B3" s="61" t="s">
        <v>35</v>
      </c>
      <c r="C3" s="62"/>
      <c r="D3" s="63"/>
      <c r="E3" s="64"/>
      <c r="F3" s="65"/>
    </row>
    <row r="4" spans="1:6" ht="15.75" customHeight="1">
      <c r="A4" s="60"/>
      <c r="B4" s="61" t="s">
        <v>36</v>
      </c>
      <c r="C4" s="62"/>
      <c r="D4" s="63"/>
      <c r="E4" s="64"/>
      <c r="F4" s="65"/>
    </row>
    <row r="5" spans="1:6" ht="15.75" customHeight="1">
      <c r="A5" s="60"/>
      <c r="B5" s="61" t="s">
        <v>37</v>
      </c>
      <c r="C5" s="62"/>
      <c r="D5" s="63"/>
      <c r="E5" s="64"/>
      <c r="F5" s="65"/>
    </row>
    <row r="6" spans="1:6" ht="15.75" customHeight="1">
      <c r="A6" s="60"/>
      <c r="B6" s="61"/>
      <c r="C6" s="62"/>
      <c r="D6" s="63"/>
      <c r="E6" s="64"/>
      <c r="F6" s="65"/>
    </row>
    <row r="7" spans="1:6" ht="15.75" customHeight="1">
      <c r="A7" s="60"/>
      <c r="B7" s="61" t="s">
        <v>38</v>
      </c>
      <c r="C7" s="62"/>
      <c r="D7" s="63"/>
      <c r="E7" s="64"/>
      <c r="F7" s="65"/>
    </row>
    <row r="8" spans="1:6" ht="15.75" customHeight="1">
      <c r="A8" s="60"/>
      <c r="B8" s="61" t="s">
        <v>39</v>
      </c>
      <c r="C8" s="62"/>
      <c r="D8" s="63"/>
      <c r="E8" s="64"/>
      <c r="F8" s="65"/>
    </row>
    <row r="9" spans="1:6" ht="15.75" customHeight="1">
      <c r="A9" s="60"/>
      <c r="B9" s="61" t="s">
        <v>40</v>
      </c>
      <c r="C9" s="62"/>
      <c r="D9" s="63"/>
      <c r="E9" s="64"/>
      <c r="F9" s="65"/>
    </row>
    <row r="10" spans="1:6" ht="15.75" customHeight="1">
      <c r="A10" s="60"/>
      <c r="B10" s="61"/>
      <c r="C10" s="62"/>
      <c r="D10" s="63"/>
      <c r="E10" s="64"/>
      <c r="F10" s="65"/>
    </row>
    <row r="11" spans="1:6" ht="15.75" customHeight="1">
      <c r="A11" s="60"/>
      <c r="B11" s="61" t="s">
        <v>41</v>
      </c>
      <c r="C11" s="62"/>
      <c r="D11" s="63"/>
      <c r="E11" s="64"/>
      <c r="F11" s="65"/>
    </row>
    <row r="12" spans="1:6" ht="15.75" customHeight="1">
      <c r="A12" s="60"/>
      <c r="B12" s="61" t="s">
        <v>42</v>
      </c>
      <c r="C12" s="62"/>
      <c r="D12" s="63"/>
      <c r="E12" s="64"/>
      <c r="F12" s="65"/>
    </row>
    <row r="13" spans="1:6" ht="15.75" customHeight="1">
      <c r="A13" s="60"/>
      <c r="B13" s="61" t="s">
        <v>43</v>
      </c>
      <c r="C13" s="62"/>
      <c r="D13" s="63"/>
      <c r="E13" s="64"/>
      <c r="F13" s="65"/>
    </row>
    <row r="14" spans="1:6" ht="15.75" customHeight="1">
      <c r="A14" s="66"/>
      <c r="B14" s="61" t="s">
        <v>44</v>
      </c>
      <c r="C14" s="62"/>
      <c r="D14" s="63"/>
      <c r="E14" s="67"/>
      <c r="F14" s="68"/>
    </row>
    <row r="15" spans="1:6" ht="15.75" customHeight="1">
      <c r="A15" s="66"/>
      <c r="B15" s="61" t="s">
        <v>45</v>
      </c>
      <c r="C15" s="62"/>
      <c r="D15" s="63"/>
      <c r="E15" s="67"/>
      <c r="F15" s="68"/>
    </row>
    <row r="16" spans="1:6" ht="15.75" customHeight="1">
      <c r="A16" s="66"/>
      <c r="B16" s="61" t="s">
        <v>40</v>
      </c>
      <c r="C16" s="62"/>
      <c r="D16" s="63"/>
      <c r="E16" s="67"/>
      <c r="F16" s="68"/>
    </row>
    <row r="17" spans="1:6" ht="15.75" customHeight="1">
      <c r="A17" s="66"/>
      <c r="B17" s="61" t="s">
        <v>46</v>
      </c>
      <c r="C17" s="62"/>
      <c r="D17" s="63"/>
      <c r="E17" s="67"/>
      <c r="F17" s="68"/>
    </row>
    <row r="18" spans="1:6" ht="15.75" customHeight="1">
      <c r="A18" s="69"/>
      <c r="B18" s="202"/>
      <c r="C18" s="195"/>
      <c r="D18" s="198"/>
      <c r="E18" s="70"/>
      <c r="F18" s="71"/>
    </row>
    <row r="19" spans="1:6" ht="15.75" customHeight="1">
      <c r="A19" s="69"/>
      <c r="B19" s="72"/>
      <c r="C19" s="73"/>
      <c r="D19" s="74"/>
      <c r="E19" s="70"/>
      <c r="F19" s="71"/>
    </row>
    <row r="20" spans="1:6" ht="15.75" customHeight="1">
      <c r="A20" s="69"/>
      <c r="B20" s="72"/>
      <c r="C20" s="73"/>
      <c r="D20" s="74"/>
      <c r="E20" s="70"/>
      <c r="F20" s="71"/>
    </row>
    <row r="21" spans="1:6" ht="15.75" customHeight="1">
      <c r="A21" s="69"/>
      <c r="B21" s="75"/>
      <c r="C21" s="76"/>
      <c r="D21" s="77"/>
      <c r="E21" s="70"/>
      <c r="F21" s="71"/>
    </row>
    <row r="22" spans="1:6" ht="15.75" customHeight="1">
      <c r="A22" s="78"/>
      <c r="B22" s="203" t="s">
        <v>47</v>
      </c>
      <c r="C22" s="195"/>
      <c r="D22" s="196"/>
      <c r="E22" s="79"/>
      <c r="F22" s="71"/>
    </row>
    <row r="23" spans="1:6" ht="15.75" customHeight="1">
      <c r="A23" s="69"/>
      <c r="B23" s="80"/>
      <c r="C23" s="73"/>
      <c r="D23" s="81"/>
      <c r="E23" s="70"/>
      <c r="F23" s="71"/>
    </row>
    <row r="24" spans="1:6" ht="15.75" customHeight="1">
      <c r="A24" s="69"/>
      <c r="B24" s="82" t="s">
        <v>48</v>
      </c>
      <c r="C24" s="83"/>
      <c r="D24" s="84">
        <v>8</v>
      </c>
      <c r="E24" s="70"/>
      <c r="F24" s="71"/>
    </row>
    <row r="25" spans="1:6" ht="15.75" customHeight="1">
      <c r="A25" s="69"/>
      <c r="B25" s="194" t="s">
        <v>49</v>
      </c>
      <c r="C25" s="195"/>
      <c r="D25" s="196"/>
      <c r="E25" s="70"/>
      <c r="F25" s="71"/>
    </row>
    <row r="26" spans="1:6" ht="15.75" customHeight="1">
      <c r="A26" s="69"/>
      <c r="B26" s="85" t="s">
        <v>50</v>
      </c>
      <c r="C26" s="86" t="s">
        <v>51</v>
      </c>
      <c r="D26" s="87"/>
      <c r="E26" s="70"/>
      <c r="F26" s="71"/>
    </row>
    <row r="27" spans="1:6" ht="15.75" customHeight="1">
      <c r="A27" s="69"/>
      <c r="B27" s="85" t="s">
        <v>52</v>
      </c>
      <c r="C27" s="86" t="s">
        <v>51</v>
      </c>
      <c r="D27" s="87"/>
      <c r="E27" s="70"/>
      <c r="F27" s="71"/>
    </row>
    <row r="28" spans="1:6" ht="15.75" customHeight="1">
      <c r="A28" s="69"/>
      <c r="B28" s="85" t="s">
        <v>53</v>
      </c>
      <c r="C28" s="86" t="s">
        <v>54</v>
      </c>
      <c r="D28" s="87"/>
      <c r="E28" s="70"/>
      <c r="F28" s="71"/>
    </row>
    <row r="29" spans="1:6" ht="15.75" customHeight="1">
      <c r="A29" s="69"/>
      <c r="B29" s="85" t="s">
        <v>55</v>
      </c>
      <c r="C29" s="86" t="s">
        <v>54</v>
      </c>
      <c r="D29" s="87"/>
      <c r="E29" s="70"/>
      <c r="F29" s="71"/>
    </row>
    <row r="30" spans="1:6" ht="17.399999999999999">
      <c r="A30" s="69"/>
      <c r="B30" s="82" t="s">
        <v>56</v>
      </c>
      <c r="C30" s="83"/>
      <c r="D30" s="84">
        <v>20</v>
      </c>
      <c r="E30" s="88"/>
      <c r="F30" s="89"/>
    </row>
    <row r="31" spans="1:6" ht="17.399999999999999">
      <c r="A31" s="69"/>
      <c r="B31" s="194" t="s">
        <v>57</v>
      </c>
      <c r="C31" s="195"/>
      <c r="D31" s="196"/>
      <c r="E31" s="88"/>
      <c r="F31" s="89"/>
    </row>
    <row r="32" spans="1:6" ht="17.399999999999999">
      <c r="A32" s="69"/>
      <c r="B32" s="85" t="s">
        <v>58</v>
      </c>
      <c r="C32" s="86" t="s">
        <v>51</v>
      </c>
      <c r="D32" s="87"/>
      <c r="E32" s="88"/>
      <c r="F32" s="89"/>
    </row>
    <row r="33" spans="1:6" ht="17.399999999999999">
      <c r="A33" s="69"/>
      <c r="B33" s="85" t="s">
        <v>59</v>
      </c>
      <c r="C33" s="86" t="s">
        <v>51</v>
      </c>
      <c r="D33" s="87"/>
      <c r="E33" s="88"/>
      <c r="F33" s="89"/>
    </row>
    <row r="34" spans="1:6" ht="17.399999999999999">
      <c r="A34" s="69"/>
      <c r="B34" s="85" t="s">
        <v>60</v>
      </c>
      <c r="C34" s="86" t="s">
        <v>54</v>
      </c>
      <c r="D34" s="87"/>
      <c r="E34" s="88"/>
      <c r="F34" s="89"/>
    </row>
    <row r="35" spans="1:6" ht="17.399999999999999">
      <c r="A35" s="69"/>
      <c r="B35" s="85" t="s">
        <v>61</v>
      </c>
      <c r="C35" s="86" t="s">
        <v>54</v>
      </c>
      <c r="D35" s="87"/>
      <c r="E35" s="88"/>
      <c r="F35" s="89"/>
    </row>
    <row r="36" spans="1:6" ht="17.399999999999999">
      <c r="A36" s="69"/>
      <c r="B36" s="82" t="s">
        <v>62</v>
      </c>
      <c r="C36" s="83"/>
      <c r="D36" s="84">
        <v>12</v>
      </c>
      <c r="E36" s="88"/>
      <c r="F36" s="90"/>
    </row>
    <row r="37" spans="1:6" ht="17.399999999999999">
      <c r="A37" s="69"/>
      <c r="B37" s="194" t="s">
        <v>63</v>
      </c>
      <c r="C37" s="195"/>
      <c r="D37" s="196"/>
      <c r="E37" s="91"/>
      <c r="F37" s="90"/>
    </row>
    <row r="38" spans="1:6" ht="17.399999999999999">
      <c r="A38" s="69"/>
      <c r="B38" s="85" t="s">
        <v>64</v>
      </c>
      <c r="C38" s="86" t="s">
        <v>54</v>
      </c>
      <c r="D38" s="87"/>
      <c r="E38" s="91"/>
      <c r="F38" s="90"/>
    </row>
    <row r="39" spans="1:6" ht="17.399999999999999">
      <c r="A39" s="69"/>
      <c r="B39" s="85" t="s">
        <v>65</v>
      </c>
      <c r="C39" s="86" t="s">
        <v>54</v>
      </c>
      <c r="D39" s="87"/>
      <c r="E39" s="91"/>
      <c r="F39" s="92"/>
    </row>
    <row r="40" spans="1:6" ht="17.399999999999999">
      <c r="A40" s="69"/>
      <c r="B40" s="85" t="s">
        <v>66</v>
      </c>
      <c r="C40" s="86" t="s">
        <v>54</v>
      </c>
      <c r="D40" s="87"/>
      <c r="E40" s="70"/>
      <c r="F40" s="92"/>
    </row>
    <row r="41" spans="1:6" ht="17.399999999999999">
      <c r="A41" s="69"/>
      <c r="B41" s="82" t="s">
        <v>67</v>
      </c>
      <c r="C41" s="83"/>
      <c r="D41" s="84">
        <v>20</v>
      </c>
      <c r="E41" s="70"/>
      <c r="F41" s="92"/>
    </row>
    <row r="42" spans="1:6" ht="17.399999999999999">
      <c r="A42" s="69"/>
      <c r="B42" s="194" t="s">
        <v>68</v>
      </c>
      <c r="C42" s="195"/>
      <c r="D42" s="196"/>
      <c r="E42" s="70"/>
      <c r="F42" s="92"/>
    </row>
    <row r="43" spans="1:6" ht="17.399999999999999">
      <c r="A43" s="69"/>
      <c r="B43" s="85" t="s">
        <v>69</v>
      </c>
      <c r="C43" s="86" t="s">
        <v>54</v>
      </c>
      <c r="D43" s="87"/>
      <c r="E43" s="70"/>
      <c r="F43" s="92"/>
    </row>
    <row r="44" spans="1:6" ht="17.399999999999999">
      <c r="A44" s="69"/>
      <c r="B44" s="85" t="s">
        <v>70</v>
      </c>
      <c r="C44" s="86" t="s">
        <v>54</v>
      </c>
      <c r="D44" s="87"/>
      <c r="E44" s="70"/>
      <c r="F44" s="92"/>
    </row>
    <row r="45" spans="1:6" ht="17.399999999999999">
      <c r="A45" s="69"/>
      <c r="B45" s="85" t="s">
        <v>71</v>
      </c>
      <c r="C45" s="86" t="s">
        <v>54</v>
      </c>
      <c r="D45" s="87"/>
      <c r="E45" s="70"/>
      <c r="F45" s="92"/>
    </row>
    <row r="46" spans="1:6" ht="17.399999999999999">
      <c r="A46" s="69"/>
      <c r="B46" s="85" t="s">
        <v>72</v>
      </c>
      <c r="C46" s="86" t="s">
        <v>54</v>
      </c>
      <c r="D46" s="87"/>
      <c r="E46" s="70"/>
      <c r="F46" s="92"/>
    </row>
    <row r="47" spans="1:6" ht="17.399999999999999">
      <c r="A47" s="69"/>
      <c r="B47" s="85" t="s">
        <v>73</v>
      </c>
      <c r="C47" s="86" t="s">
        <v>74</v>
      </c>
      <c r="D47" s="87"/>
      <c r="E47" s="70"/>
      <c r="F47" s="92"/>
    </row>
    <row r="48" spans="1:6" ht="17.399999999999999">
      <c r="A48" s="69"/>
      <c r="B48" s="82" t="s">
        <v>75</v>
      </c>
      <c r="C48" s="83"/>
      <c r="D48" s="84">
        <v>16</v>
      </c>
      <c r="E48" s="70"/>
      <c r="F48" s="92"/>
    </row>
    <row r="49" spans="1:6" ht="17.399999999999999">
      <c r="A49" s="69"/>
      <c r="B49" s="194" t="s">
        <v>76</v>
      </c>
      <c r="C49" s="195"/>
      <c r="D49" s="196"/>
      <c r="E49" s="70"/>
      <c r="F49" s="92"/>
    </row>
    <row r="50" spans="1:6" ht="17.399999999999999">
      <c r="A50" s="69"/>
      <c r="B50" s="85" t="s">
        <v>77</v>
      </c>
      <c r="C50" s="86" t="s">
        <v>54</v>
      </c>
      <c r="D50" s="87"/>
      <c r="E50" s="70"/>
      <c r="F50" s="93"/>
    </row>
    <row r="51" spans="1:6" ht="17.399999999999999">
      <c r="A51" s="69"/>
      <c r="B51" s="85" t="s">
        <v>78</v>
      </c>
      <c r="C51" s="86" t="s">
        <v>54</v>
      </c>
      <c r="D51" s="87"/>
      <c r="E51" s="70"/>
      <c r="F51" s="93"/>
    </row>
    <row r="52" spans="1:6" ht="17.399999999999999">
      <c r="A52" s="69"/>
      <c r="B52" s="85" t="s">
        <v>79</v>
      </c>
      <c r="C52" s="86" t="s">
        <v>54</v>
      </c>
      <c r="D52" s="87"/>
      <c r="E52" s="70"/>
      <c r="F52" s="93"/>
    </row>
    <row r="53" spans="1:6" ht="17.399999999999999">
      <c r="A53" s="69"/>
      <c r="B53" s="85" t="s">
        <v>80</v>
      </c>
      <c r="C53" s="86" t="s">
        <v>54</v>
      </c>
      <c r="D53" s="87"/>
      <c r="E53" s="70"/>
      <c r="F53" s="93"/>
    </row>
    <row r="54" spans="1:6" ht="17.399999999999999">
      <c r="A54" s="69"/>
      <c r="B54" s="82" t="s">
        <v>81</v>
      </c>
      <c r="C54" s="83"/>
      <c r="D54" s="84">
        <v>28</v>
      </c>
      <c r="E54" s="70"/>
      <c r="F54" s="93"/>
    </row>
    <row r="55" spans="1:6" ht="17.399999999999999">
      <c r="A55" s="69"/>
      <c r="B55" s="194" t="s">
        <v>82</v>
      </c>
      <c r="C55" s="195"/>
      <c r="D55" s="196"/>
      <c r="E55" s="70"/>
      <c r="F55" s="93"/>
    </row>
    <row r="56" spans="1:6" ht="17.399999999999999">
      <c r="A56" s="69"/>
      <c r="B56" s="85" t="s">
        <v>83</v>
      </c>
      <c r="C56" s="86" t="s">
        <v>54</v>
      </c>
      <c r="D56" s="87"/>
      <c r="E56" s="70"/>
      <c r="F56" s="93"/>
    </row>
    <row r="57" spans="1:6" ht="17.399999999999999">
      <c r="A57" s="69"/>
      <c r="B57" s="85" t="s">
        <v>84</v>
      </c>
      <c r="C57" s="86" t="s">
        <v>54</v>
      </c>
      <c r="D57" s="87"/>
      <c r="E57" s="70"/>
      <c r="F57" s="93"/>
    </row>
    <row r="58" spans="1:6" ht="17.399999999999999">
      <c r="A58" s="69"/>
      <c r="B58" s="85" t="s">
        <v>85</v>
      </c>
      <c r="C58" s="86" t="s">
        <v>54</v>
      </c>
      <c r="D58" s="87"/>
      <c r="E58" s="70"/>
      <c r="F58" s="93"/>
    </row>
    <row r="59" spans="1:6" ht="17.399999999999999">
      <c r="A59" s="69"/>
      <c r="B59" s="94" t="s">
        <v>86</v>
      </c>
      <c r="C59" s="86" t="s">
        <v>54</v>
      </c>
      <c r="D59" s="95"/>
      <c r="E59" s="70"/>
      <c r="F59" s="93"/>
    </row>
    <row r="60" spans="1:6" ht="17.399999999999999">
      <c r="A60" s="69"/>
      <c r="B60" s="96" t="s">
        <v>87</v>
      </c>
      <c r="C60" s="86" t="s">
        <v>54</v>
      </c>
      <c r="D60" s="97"/>
      <c r="E60" s="70"/>
      <c r="F60" s="93"/>
    </row>
    <row r="61" spans="1:6" ht="17.399999999999999">
      <c r="A61" s="69"/>
      <c r="B61" s="98" t="s">
        <v>88</v>
      </c>
      <c r="C61" s="99"/>
      <c r="D61" s="100">
        <v>28</v>
      </c>
      <c r="E61" s="70"/>
      <c r="F61" s="93"/>
    </row>
    <row r="62" spans="1:6" ht="17.399999999999999">
      <c r="A62" s="69"/>
      <c r="B62" s="194" t="s">
        <v>89</v>
      </c>
      <c r="C62" s="195"/>
      <c r="D62" s="196"/>
      <c r="E62" s="70"/>
      <c r="F62" s="93"/>
    </row>
    <row r="63" spans="1:6" ht="17.399999999999999">
      <c r="A63" s="69"/>
      <c r="B63" s="85" t="s">
        <v>90</v>
      </c>
      <c r="C63" s="86" t="s">
        <v>54</v>
      </c>
      <c r="D63" s="87"/>
      <c r="E63" s="70"/>
      <c r="F63" s="93"/>
    </row>
    <row r="64" spans="1:6" ht="17.399999999999999">
      <c r="A64" s="69"/>
      <c r="B64" s="85" t="s">
        <v>91</v>
      </c>
      <c r="C64" s="86" t="s">
        <v>54</v>
      </c>
      <c r="D64" s="87"/>
      <c r="E64" s="70"/>
      <c r="F64" s="93"/>
    </row>
    <row r="65" spans="1:6" ht="17.399999999999999">
      <c r="A65" s="69"/>
      <c r="B65" s="94" t="s">
        <v>92</v>
      </c>
      <c r="C65" s="86" t="s">
        <v>54</v>
      </c>
      <c r="D65" s="95"/>
      <c r="E65" s="70"/>
      <c r="F65" s="93"/>
    </row>
    <row r="66" spans="1:6" ht="17.399999999999999">
      <c r="A66" s="69"/>
      <c r="B66" s="101" t="s">
        <v>93</v>
      </c>
      <c r="C66" s="86"/>
      <c r="D66" s="95"/>
      <c r="E66" s="70"/>
      <c r="F66" s="93"/>
    </row>
    <row r="67" spans="1:6" ht="17.399999999999999">
      <c r="A67" s="69"/>
      <c r="B67" s="101" t="s">
        <v>94</v>
      </c>
      <c r="C67" s="86" t="s">
        <v>54</v>
      </c>
      <c r="D67" s="102"/>
      <c r="E67" s="70"/>
      <c r="F67" s="93"/>
    </row>
    <row r="68" spans="1:6" ht="17.399999999999999">
      <c r="A68" s="69"/>
      <c r="B68" s="98" t="s">
        <v>95</v>
      </c>
      <c r="C68" s="99"/>
      <c r="D68" s="100">
        <v>28</v>
      </c>
      <c r="E68" s="70"/>
      <c r="F68" s="93"/>
    </row>
    <row r="69" spans="1:6" ht="17.399999999999999">
      <c r="A69" s="69"/>
      <c r="B69" s="194" t="s">
        <v>96</v>
      </c>
      <c r="C69" s="195"/>
      <c r="D69" s="196"/>
      <c r="E69" s="70"/>
      <c r="F69" s="93"/>
    </row>
    <row r="70" spans="1:6" ht="17.399999999999999">
      <c r="A70" s="69"/>
      <c r="B70" s="103" t="s">
        <v>97</v>
      </c>
      <c r="C70" s="104"/>
      <c r="D70" s="87"/>
      <c r="E70" s="70"/>
      <c r="F70" s="93"/>
    </row>
    <row r="71" spans="1:6" ht="17.399999999999999">
      <c r="A71" s="69"/>
      <c r="B71" s="85" t="s">
        <v>98</v>
      </c>
      <c r="C71" s="86" t="s">
        <v>99</v>
      </c>
      <c r="D71" s="87"/>
      <c r="E71" s="70"/>
      <c r="F71" s="93"/>
    </row>
    <row r="72" spans="1:6" ht="17.399999999999999">
      <c r="A72" s="69"/>
      <c r="B72" s="101" t="s">
        <v>100</v>
      </c>
      <c r="C72" s="86" t="s">
        <v>99</v>
      </c>
      <c r="D72" s="102"/>
      <c r="E72" s="70"/>
      <c r="F72" s="93"/>
    </row>
    <row r="73" spans="1:6" ht="17.399999999999999">
      <c r="A73" s="69"/>
      <c r="B73" s="101" t="s">
        <v>101</v>
      </c>
      <c r="C73" s="86" t="s">
        <v>99</v>
      </c>
      <c r="D73" s="102"/>
      <c r="E73" s="70"/>
      <c r="F73" s="93"/>
    </row>
    <row r="74" spans="1:6" ht="17.399999999999999">
      <c r="A74" s="69"/>
      <c r="B74" s="101" t="s">
        <v>102</v>
      </c>
      <c r="C74" s="86" t="s">
        <v>99</v>
      </c>
      <c r="D74" s="102"/>
      <c r="E74" s="70"/>
      <c r="F74" s="93"/>
    </row>
    <row r="75" spans="1:6" ht="17.399999999999999">
      <c r="A75" s="69"/>
      <c r="B75" s="96" t="s">
        <v>103</v>
      </c>
      <c r="C75" s="105" t="s">
        <v>99</v>
      </c>
      <c r="D75" s="106"/>
      <c r="E75" s="70"/>
      <c r="F75" s="93"/>
    </row>
    <row r="76" spans="1:6" ht="17.399999999999999">
      <c r="A76" s="69"/>
      <c r="B76" s="107"/>
      <c r="C76" s="108"/>
      <c r="D76" s="109">
        <f>SUM(D24,D30,D36,D41,D48,D54,D61,D68)</f>
        <v>160</v>
      </c>
      <c r="E76" s="70"/>
      <c r="F76" s="93"/>
    </row>
    <row r="77" spans="1:6" ht="17.399999999999999">
      <c r="A77" s="110"/>
      <c r="B77" s="197" t="s">
        <v>104</v>
      </c>
      <c r="C77" s="195"/>
      <c r="D77" s="198"/>
      <c r="E77" s="111"/>
      <c r="F77" s="93"/>
    </row>
    <row r="78" spans="1:6" ht="17.399999999999999">
      <c r="A78" s="112"/>
      <c r="B78" s="199"/>
      <c r="C78" s="200"/>
      <c r="D78" s="201"/>
      <c r="E78" s="113"/>
      <c r="F78" s="93"/>
    </row>
  </sheetData>
  <mergeCells count="12">
    <mergeCell ref="B42:D42"/>
    <mergeCell ref="B49:D49"/>
    <mergeCell ref="B18:D18"/>
    <mergeCell ref="B22:D22"/>
    <mergeCell ref="B25:D25"/>
    <mergeCell ref="B31:D31"/>
    <mergeCell ref="B37:D37"/>
    <mergeCell ref="B55:D55"/>
    <mergeCell ref="B62:D62"/>
    <mergeCell ref="B69:D69"/>
    <mergeCell ref="B77:D77"/>
    <mergeCell ref="B78:D78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J90"/>
  <sheetViews>
    <sheetView topLeftCell="A55" zoomScale="115" zoomScaleNormal="115" workbookViewId="0">
      <selection activeCell="B76" sqref="B76"/>
    </sheetView>
  </sheetViews>
  <sheetFormatPr defaultColWidth="12.6640625" defaultRowHeight="15.75" customHeight="1"/>
  <cols>
    <col min="1" max="1" width="3.88671875" customWidth="1"/>
    <col min="2" max="2" width="56.33203125" customWidth="1"/>
    <col min="3" max="4" width="8.88671875" customWidth="1"/>
    <col min="5" max="5" width="3.88671875" customWidth="1"/>
    <col min="6" max="6" width="3.88671875" hidden="1" customWidth="1"/>
    <col min="7" max="7" width="56.33203125" hidden="1" customWidth="1"/>
    <col min="8" max="9" width="8.88671875" hidden="1" customWidth="1"/>
    <col min="10" max="10" width="3.88671875" hidden="1" customWidth="1"/>
  </cols>
  <sheetData>
    <row r="1" spans="1:10" ht="15.75" customHeight="1">
      <c r="A1" s="48"/>
      <c r="B1" s="49"/>
      <c r="C1" s="50"/>
      <c r="D1" s="51"/>
      <c r="E1" s="114"/>
      <c r="F1" s="115"/>
      <c r="G1" s="116"/>
      <c r="H1" s="117"/>
      <c r="I1" s="118"/>
      <c r="J1" s="119"/>
    </row>
    <row r="2" spans="1:10" ht="15.75" customHeight="1">
      <c r="A2" s="54"/>
      <c r="B2" s="55" t="s">
        <v>105</v>
      </c>
      <c r="C2" s="56"/>
      <c r="D2" s="57"/>
      <c r="E2" s="120"/>
      <c r="F2" s="59"/>
      <c r="G2" s="55" t="s">
        <v>106</v>
      </c>
      <c r="H2" s="56"/>
      <c r="I2" s="57"/>
      <c r="J2" s="121"/>
    </row>
    <row r="3" spans="1:10" ht="15.75" customHeight="1">
      <c r="A3" s="60"/>
      <c r="B3" s="61" t="s">
        <v>107</v>
      </c>
      <c r="C3" s="62"/>
      <c r="D3" s="63"/>
      <c r="E3" s="122"/>
      <c r="F3" s="65"/>
      <c r="G3" s="61" t="s">
        <v>108</v>
      </c>
      <c r="H3" s="62"/>
      <c r="I3" s="63"/>
      <c r="J3" s="123"/>
    </row>
    <row r="4" spans="1:10" ht="15.75" customHeight="1">
      <c r="A4" s="60"/>
      <c r="B4" s="61" t="s">
        <v>109</v>
      </c>
      <c r="C4" s="62"/>
      <c r="D4" s="63"/>
      <c r="E4" s="122"/>
      <c r="F4" s="65"/>
      <c r="G4" s="61" t="s">
        <v>109</v>
      </c>
      <c r="H4" s="62"/>
      <c r="I4" s="63"/>
      <c r="J4" s="123"/>
    </row>
    <row r="5" spans="1:10" ht="15.75" customHeight="1">
      <c r="A5" s="60"/>
      <c r="B5" s="61" t="s">
        <v>110</v>
      </c>
      <c r="C5" s="62"/>
      <c r="D5" s="63"/>
      <c r="E5" s="122"/>
      <c r="F5" s="65"/>
      <c r="G5" s="61" t="s">
        <v>110</v>
      </c>
      <c r="H5" s="62"/>
      <c r="I5" s="63"/>
      <c r="J5" s="123"/>
    </row>
    <row r="6" spans="1:10" ht="15.75" customHeight="1">
      <c r="A6" s="60"/>
      <c r="B6" s="61" t="s">
        <v>41</v>
      </c>
      <c r="C6" s="62"/>
      <c r="D6" s="63"/>
      <c r="E6" s="122"/>
      <c r="F6" s="65"/>
      <c r="G6" s="61" t="s">
        <v>41</v>
      </c>
      <c r="H6" s="62"/>
      <c r="I6" s="63"/>
      <c r="J6" s="123"/>
    </row>
    <row r="7" spans="1:10" ht="15.75" customHeight="1">
      <c r="A7" s="60"/>
      <c r="B7" s="61" t="s">
        <v>111</v>
      </c>
      <c r="C7" s="62"/>
      <c r="D7" s="63"/>
      <c r="E7" s="122"/>
      <c r="F7" s="65"/>
      <c r="G7" s="61" t="s">
        <v>111</v>
      </c>
      <c r="H7" s="62"/>
      <c r="I7" s="63"/>
      <c r="J7" s="123"/>
    </row>
    <row r="8" spans="1:10" ht="15.75" customHeight="1">
      <c r="A8" s="60"/>
      <c r="B8" s="61" t="s">
        <v>112</v>
      </c>
      <c r="C8" s="62"/>
      <c r="D8" s="63"/>
      <c r="E8" s="122"/>
      <c r="F8" s="65"/>
      <c r="G8" s="61" t="s">
        <v>113</v>
      </c>
      <c r="H8" s="62"/>
      <c r="I8" s="63"/>
      <c r="J8" s="123"/>
    </row>
    <row r="9" spans="1:10" ht="15.75" customHeight="1">
      <c r="A9" s="66"/>
      <c r="B9" s="61" t="s">
        <v>114</v>
      </c>
      <c r="C9" s="62"/>
      <c r="D9" s="63"/>
      <c r="E9" s="124"/>
      <c r="F9" s="68"/>
      <c r="G9" s="61" t="s">
        <v>114</v>
      </c>
      <c r="H9" s="62"/>
      <c r="I9" s="63"/>
      <c r="J9" s="125"/>
    </row>
    <row r="10" spans="1:10" ht="15.75" customHeight="1">
      <c r="A10" s="66"/>
      <c r="B10" s="61" t="s">
        <v>115</v>
      </c>
      <c r="C10" s="62"/>
      <c r="D10" s="63"/>
      <c r="E10" s="124"/>
      <c r="F10" s="68"/>
      <c r="G10" s="61"/>
      <c r="H10" s="62"/>
      <c r="I10" s="63"/>
      <c r="J10" s="125"/>
    </row>
    <row r="11" spans="1:10" ht="15.75" customHeight="1">
      <c r="A11" s="66"/>
      <c r="B11" s="61" t="s">
        <v>116</v>
      </c>
      <c r="C11" s="62"/>
      <c r="D11" s="63"/>
      <c r="E11" s="124"/>
      <c r="F11" s="68"/>
      <c r="G11" s="61" t="s">
        <v>117</v>
      </c>
      <c r="H11" s="62"/>
      <c r="I11" s="63"/>
      <c r="J11" s="125"/>
    </row>
    <row r="12" spans="1:10" ht="15.75" customHeight="1">
      <c r="A12" s="69"/>
      <c r="B12" s="202"/>
      <c r="C12" s="195"/>
      <c r="D12" s="198"/>
      <c r="E12" s="126"/>
      <c r="F12" s="72"/>
      <c r="G12" s="202"/>
      <c r="H12" s="195"/>
      <c r="I12" s="198"/>
      <c r="J12" s="127"/>
    </row>
    <row r="13" spans="1:10" ht="15.75" customHeight="1">
      <c r="A13" s="69"/>
      <c r="B13" s="75"/>
      <c r="C13" s="76"/>
      <c r="D13" s="77"/>
      <c r="E13" s="126"/>
      <c r="F13" s="72"/>
      <c r="G13" s="75"/>
      <c r="H13" s="76"/>
      <c r="I13" s="77"/>
      <c r="J13" s="127"/>
    </row>
    <row r="14" spans="1:10" ht="15.75" customHeight="1">
      <c r="A14" s="78"/>
      <c r="B14" s="203" t="s">
        <v>118</v>
      </c>
      <c r="C14" s="195"/>
      <c r="D14" s="196"/>
      <c r="E14" s="128"/>
      <c r="F14" s="71"/>
      <c r="G14" s="203" t="s">
        <v>119</v>
      </c>
      <c r="H14" s="195"/>
      <c r="I14" s="196"/>
      <c r="J14" s="72"/>
    </row>
    <row r="15" spans="1:10" ht="15.75" customHeight="1">
      <c r="A15" s="69"/>
      <c r="B15" s="80"/>
      <c r="C15" s="73"/>
      <c r="D15" s="81"/>
      <c r="E15" s="126"/>
      <c r="F15" s="72"/>
      <c r="G15" s="80"/>
      <c r="H15" s="73"/>
      <c r="I15" s="81"/>
      <c r="J15" s="127"/>
    </row>
    <row r="16" spans="1:10" ht="15.75" customHeight="1">
      <c r="A16" s="69"/>
      <c r="B16" s="82" t="s">
        <v>120</v>
      </c>
      <c r="C16" s="83"/>
      <c r="D16" s="84">
        <v>8</v>
      </c>
      <c r="E16" s="126"/>
      <c r="F16" s="72"/>
      <c r="G16" s="82" t="s">
        <v>121</v>
      </c>
      <c r="H16" s="83"/>
      <c r="I16" s="84">
        <v>3</v>
      </c>
      <c r="J16" s="127"/>
    </row>
    <row r="17" spans="1:10" ht="15.75" customHeight="1">
      <c r="A17" s="69"/>
      <c r="B17" s="85" t="s">
        <v>122</v>
      </c>
      <c r="C17" s="86" t="s">
        <v>51</v>
      </c>
      <c r="D17" s="87"/>
      <c r="E17" s="126"/>
      <c r="F17" s="72"/>
      <c r="G17" s="85" t="s">
        <v>123</v>
      </c>
      <c r="H17" s="72"/>
      <c r="I17" s="87"/>
      <c r="J17" s="127"/>
    </row>
    <row r="18" spans="1:10" ht="15.75" customHeight="1">
      <c r="A18" s="69"/>
      <c r="B18" s="85" t="s">
        <v>124</v>
      </c>
      <c r="C18" s="86" t="s">
        <v>51</v>
      </c>
      <c r="D18" s="87"/>
      <c r="E18" s="126"/>
      <c r="F18" s="72"/>
      <c r="G18" s="85"/>
      <c r="H18" s="72"/>
      <c r="I18" s="87"/>
      <c r="J18" s="127"/>
    </row>
    <row r="19" spans="1:10" ht="15.75" customHeight="1">
      <c r="A19" s="69"/>
      <c r="B19" s="85" t="s">
        <v>125</v>
      </c>
      <c r="C19" s="86" t="s">
        <v>54</v>
      </c>
      <c r="D19" s="87"/>
      <c r="E19" s="126"/>
      <c r="F19" s="72"/>
      <c r="G19" s="85" t="s">
        <v>126</v>
      </c>
      <c r="H19" s="72"/>
      <c r="I19" s="87"/>
      <c r="J19" s="127"/>
    </row>
    <row r="20" spans="1:10" ht="15.75" customHeight="1">
      <c r="A20" s="69"/>
      <c r="B20" s="85" t="s">
        <v>127</v>
      </c>
      <c r="C20" s="86" t="s">
        <v>128</v>
      </c>
      <c r="D20" s="87"/>
      <c r="E20" s="126"/>
      <c r="F20" s="72"/>
      <c r="G20" s="82" t="s">
        <v>129</v>
      </c>
      <c r="H20" s="83"/>
      <c r="I20" s="84">
        <v>6</v>
      </c>
      <c r="J20" s="127"/>
    </row>
    <row r="21" spans="1:10" ht="15.75" customHeight="1">
      <c r="A21" s="69"/>
      <c r="B21" s="85" t="s">
        <v>130</v>
      </c>
      <c r="C21" s="86" t="s">
        <v>54</v>
      </c>
      <c r="D21" s="87"/>
      <c r="E21" s="126"/>
      <c r="F21" s="72"/>
      <c r="G21" s="85" t="s">
        <v>131</v>
      </c>
      <c r="H21" s="72"/>
      <c r="I21" s="87"/>
      <c r="J21" s="127"/>
    </row>
    <row r="22" spans="1:10" ht="15.75" customHeight="1">
      <c r="A22" s="69"/>
      <c r="B22" s="85" t="s">
        <v>132</v>
      </c>
      <c r="C22" s="86" t="s">
        <v>54</v>
      </c>
      <c r="D22" s="87"/>
      <c r="E22" s="126"/>
      <c r="F22" s="89"/>
      <c r="G22" s="85" t="s">
        <v>133</v>
      </c>
      <c r="H22" s="86"/>
      <c r="I22" s="87"/>
      <c r="J22" s="127"/>
    </row>
    <row r="23" spans="1:10" ht="15.75" customHeight="1">
      <c r="A23" s="69"/>
      <c r="B23" s="85" t="s">
        <v>134</v>
      </c>
      <c r="C23" s="72"/>
      <c r="D23" s="87"/>
      <c r="E23" s="129"/>
      <c r="F23" s="89"/>
      <c r="G23" s="130"/>
      <c r="H23" s="131"/>
      <c r="I23" s="132"/>
      <c r="J23" s="127"/>
    </row>
    <row r="24" spans="1:10" ht="15.75" customHeight="1">
      <c r="A24" s="69"/>
      <c r="B24" s="133" t="s">
        <v>135</v>
      </c>
      <c r="C24" s="72"/>
      <c r="D24" s="87"/>
      <c r="E24" s="134"/>
      <c r="F24" s="89"/>
      <c r="G24" s="82" t="s">
        <v>136</v>
      </c>
      <c r="H24" s="83"/>
      <c r="I24" s="84">
        <v>5</v>
      </c>
      <c r="J24" s="127"/>
    </row>
    <row r="25" spans="1:10" ht="17.399999999999999">
      <c r="A25" s="69"/>
      <c r="B25" s="82" t="s">
        <v>137</v>
      </c>
      <c r="C25" s="83"/>
      <c r="D25" s="84">
        <v>8</v>
      </c>
      <c r="E25" s="135"/>
      <c r="F25" s="89"/>
      <c r="G25" s="85" t="s">
        <v>138</v>
      </c>
      <c r="H25" s="72"/>
      <c r="I25" s="87"/>
      <c r="J25" s="136"/>
    </row>
    <row r="26" spans="1:10" ht="17.399999999999999">
      <c r="A26" s="69"/>
      <c r="B26" s="85" t="s">
        <v>139</v>
      </c>
      <c r="C26" s="86" t="s">
        <v>54</v>
      </c>
      <c r="D26" s="87"/>
      <c r="E26" s="135"/>
      <c r="F26" s="89"/>
      <c r="G26" s="85" t="s">
        <v>140</v>
      </c>
      <c r="H26" s="86"/>
      <c r="I26" s="87"/>
      <c r="J26" s="136"/>
    </row>
    <row r="27" spans="1:10" ht="17.399999999999999">
      <c r="A27" s="69"/>
      <c r="B27" s="133" t="s">
        <v>141</v>
      </c>
      <c r="C27" s="86" t="s">
        <v>54</v>
      </c>
      <c r="D27" s="87"/>
      <c r="E27" s="135"/>
      <c r="F27" s="89"/>
      <c r="G27" s="130"/>
      <c r="H27" s="131"/>
      <c r="I27" s="132"/>
      <c r="J27" s="136"/>
    </row>
    <row r="28" spans="1:10" ht="17.399999999999999">
      <c r="A28" s="69"/>
      <c r="B28" s="133" t="s">
        <v>142</v>
      </c>
      <c r="C28" s="86" t="s">
        <v>54</v>
      </c>
      <c r="D28" s="87"/>
      <c r="E28" s="135"/>
      <c r="F28" s="89"/>
      <c r="G28" s="130"/>
      <c r="H28" s="131"/>
      <c r="I28" s="132"/>
      <c r="J28" s="136"/>
    </row>
    <row r="29" spans="1:10" ht="17.399999999999999">
      <c r="A29" s="69"/>
      <c r="B29" s="133" t="s">
        <v>143</v>
      </c>
      <c r="C29" s="86" t="s">
        <v>54</v>
      </c>
      <c r="D29" s="87"/>
      <c r="E29" s="135"/>
      <c r="F29" s="89"/>
      <c r="G29" s="130"/>
      <c r="H29" s="131"/>
      <c r="I29" s="132"/>
      <c r="J29" s="136"/>
    </row>
    <row r="30" spans="1:10" ht="17.399999999999999">
      <c r="A30" s="69"/>
      <c r="B30" s="133" t="s">
        <v>79</v>
      </c>
      <c r="C30" s="86" t="s">
        <v>54</v>
      </c>
      <c r="D30" s="87"/>
      <c r="E30" s="135"/>
      <c r="F30" s="89"/>
      <c r="G30" s="130"/>
      <c r="H30" s="131"/>
      <c r="I30" s="132"/>
      <c r="J30" s="136"/>
    </row>
    <row r="31" spans="1:10" ht="17.399999999999999">
      <c r="A31" s="69"/>
      <c r="B31" s="85" t="s">
        <v>144</v>
      </c>
      <c r="C31" s="86" t="s">
        <v>128</v>
      </c>
      <c r="D31" s="87"/>
      <c r="E31" s="135"/>
      <c r="F31" s="89"/>
      <c r="G31" s="85" t="s">
        <v>145</v>
      </c>
      <c r="H31" s="72"/>
      <c r="I31" s="87"/>
      <c r="J31" s="136"/>
    </row>
    <row r="32" spans="1:10" ht="17.399999999999999">
      <c r="A32" s="69"/>
      <c r="B32" s="85" t="s">
        <v>146</v>
      </c>
      <c r="C32" s="86" t="s">
        <v>128</v>
      </c>
      <c r="D32" s="87"/>
      <c r="E32" s="135"/>
      <c r="F32" s="89"/>
      <c r="G32" s="85"/>
      <c r="H32" s="86"/>
      <c r="I32" s="87"/>
      <c r="J32" s="136"/>
    </row>
    <row r="33" spans="1:10" ht="17.399999999999999">
      <c r="A33" s="69"/>
      <c r="B33" s="85" t="s">
        <v>134</v>
      </c>
      <c r="C33" s="86"/>
      <c r="D33" s="87"/>
      <c r="E33" s="135"/>
      <c r="F33" s="89"/>
      <c r="G33" s="85"/>
      <c r="H33" s="86"/>
      <c r="I33" s="87"/>
      <c r="J33" s="136"/>
    </row>
    <row r="34" spans="1:10" ht="17.399999999999999">
      <c r="A34" s="69"/>
      <c r="B34" s="85" t="s">
        <v>147</v>
      </c>
      <c r="C34" s="86"/>
      <c r="D34" s="87"/>
      <c r="E34" s="135"/>
      <c r="F34" s="89"/>
      <c r="G34" s="85" t="s">
        <v>148</v>
      </c>
      <c r="H34" s="86"/>
      <c r="I34" s="87"/>
      <c r="J34" s="136"/>
    </row>
    <row r="35" spans="1:10" ht="17.399999999999999">
      <c r="A35" s="69"/>
      <c r="B35" s="82" t="s">
        <v>149</v>
      </c>
      <c r="C35" s="83"/>
      <c r="D35" s="84">
        <v>10</v>
      </c>
      <c r="E35" s="135"/>
      <c r="F35" s="90"/>
      <c r="G35" s="82" t="s">
        <v>150</v>
      </c>
      <c r="H35" s="83"/>
      <c r="I35" s="84">
        <v>4</v>
      </c>
      <c r="J35" s="136"/>
    </row>
    <row r="36" spans="1:10" ht="17.399999999999999">
      <c r="A36" s="69"/>
      <c r="B36" s="133" t="s">
        <v>151</v>
      </c>
      <c r="C36" s="86" t="s">
        <v>54</v>
      </c>
      <c r="D36" s="87"/>
      <c r="E36" s="135"/>
      <c r="F36" s="89"/>
      <c r="G36" s="85" t="s">
        <v>140</v>
      </c>
      <c r="H36" s="86"/>
      <c r="I36" s="87"/>
      <c r="J36" s="136"/>
    </row>
    <row r="37" spans="1:10" ht="17.399999999999999">
      <c r="A37" s="69"/>
      <c r="B37" s="133" t="s">
        <v>152</v>
      </c>
      <c r="C37" s="86" t="s">
        <v>54</v>
      </c>
      <c r="D37" s="87"/>
      <c r="E37" s="135"/>
      <c r="F37" s="89"/>
      <c r="G37" s="85"/>
      <c r="H37" s="86"/>
      <c r="I37" s="87"/>
      <c r="J37" s="136"/>
    </row>
    <row r="38" spans="1:10" ht="17.399999999999999">
      <c r="A38" s="69"/>
      <c r="B38" s="85" t="s">
        <v>153</v>
      </c>
      <c r="C38" s="86" t="s">
        <v>51</v>
      </c>
      <c r="D38" s="87"/>
      <c r="E38" s="135"/>
      <c r="F38" s="89"/>
      <c r="G38" s="85"/>
      <c r="H38" s="86"/>
      <c r="I38" s="87"/>
      <c r="J38" s="136"/>
    </row>
    <row r="39" spans="1:10" ht="17.399999999999999">
      <c r="A39" s="69"/>
      <c r="B39" s="85" t="s">
        <v>154</v>
      </c>
      <c r="C39" s="86" t="s">
        <v>128</v>
      </c>
      <c r="D39" s="87"/>
      <c r="E39" s="135"/>
      <c r="F39" s="89"/>
      <c r="G39" s="85"/>
      <c r="H39" s="86"/>
      <c r="I39" s="87"/>
      <c r="J39" s="136"/>
    </row>
    <row r="40" spans="1:10" ht="17.399999999999999">
      <c r="A40" s="69"/>
      <c r="B40" s="85" t="s">
        <v>155</v>
      </c>
      <c r="C40" s="86" t="s">
        <v>128</v>
      </c>
      <c r="D40" s="87"/>
      <c r="E40" s="135"/>
      <c r="F40" s="89"/>
      <c r="G40" s="85"/>
      <c r="H40" s="86"/>
      <c r="I40" s="87"/>
      <c r="J40" s="136"/>
    </row>
    <row r="41" spans="1:10" ht="17.399999999999999">
      <c r="A41" s="69"/>
      <c r="B41" s="133" t="s">
        <v>156</v>
      </c>
      <c r="C41" s="86" t="s">
        <v>54</v>
      </c>
      <c r="D41" s="87"/>
      <c r="E41" s="135"/>
      <c r="F41" s="89"/>
      <c r="G41" s="85"/>
      <c r="H41" s="86"/>
      <c r="I41" s="87"/>
      <c r="J41" s="136"/>
    </row>
    <row r="42" spans="1:10" ht="17.399999999999999">
      <c r="A42" s="69"/>
      <c r="B42" s="85" t="s">
        <v>134</v>
      </c>
      <c r="C42" s="86"/>
      <c r="D42" s="87"/>
      <c r="E42" s="135"/>
      <c r="F42" s="89"/>
      <c r="G42" s="85"/>
      <c r="H42" s="86"/>
      <c r="I42" s="87"/>
      <c r="J42" s="136"/>
    </row>
    <row r="43" spans="1:10" ht="17.399999999999999">
      <c r="A43" s="69"/>
      <c r="B43" s="133" t="s">
        <v>157</v>
      </c>
      <c r="C43" s="86"/>
      <c r="D43" s="87"/>
      <c r="E43" s="135"/>
      <c r="F43" s="89"/>
      <c r="G43" s="85" t="s">
        <v>148</v>
      </c>
      <c r="H43" s="86"/>
      <c r="I43" s="87"/>
      <c r="J43" s="136"/>
    </row>
    <row r="44" spans="1:10" ht="17.399999999999999">
      <c r="A44" s="69"/>
      <c r="B44" s="82" t="s">
        <v>158</v>
      </c>
      <c r="C44" s="83"/>
      <c r="D44" s="84">
        <v>8</v>
      </c>
      <c r="E44" s="126"/>
      <c r="F44" s="93"/>
      <c r="G44" s="85" t="s">
        <v>159</v>
      </c>
      <c r="H44" s="86" t="s">
        <v>128</v>
      </c>
      <c r="I44" s="87"/>
      <c r="J44" s="137"/>
    </row>
    <row r="45" spans="1:10" ht="17.399999999999999">
      <c r="A45" s="69"/>
      <c r="B45" s="85" t="s">
        <v>160</v>
      </c>
      <c r="C45" s="86" t="s">
        <v>51</v>
      </c>
      <c r="D45" s="87"/>
      <c r="E45" s="138"/>
      <c r="F45" s="90"/>
      <c r="G45" s="85" t="s">
        <v>161</v>
      </c>
      <c r="H45" s="72"/>
      <c r="I45" s="87"/>
      <c r="J45" s="136"/>
    </row>
    <row r="46" spans="1:10" ht="17.399999999999999">
      <c r="A46" s="69"/>
      <c r="B46" s="85" t="s">
        <v>162</v>
      </c>
      <c r="C46" s="86" t="s">
        <v>128</v>
      </c>
      <c r="D46" s="87"/>
      <c r="E46" s="138"/>
      <c r="F46" s="93"/>
      <c r="G46" s="85" t="s">
        <v>163</v>
      </c>
      <c r="H46" s="86"/>
      <c r="I46" s="87"/>
      <c r="J46" s="139"/>
    </row>
    <row r="47" spans="1:10" ht="17.399999999999999">
      <c r="A47" s="69"/>
      <c r="B47" s="85" t="s">
        <v>164</v>
      </c>
      <c r="C47" s="86" t="s">
        <v>128</v>
      </c>
      <c r="D47" s="87"/>
      <c r="E47" s="126"/>
      <c r="F47" s="93"/>
      <c r="G47" s="82" t="s">
        <v>165</v>
      </c>
      <c r="H47" s="83"/>
      <c r="I47" s="84">
        <v>16</v>
      </c>
      <c r="J47" s="139"/>
    </row>
    <row r="48" spans="1:10" ht="17.399999999999999">
      <c r="A48" s="69"/>
      <c r="B48" s="85" t="s">
        <v>166</v>
      </c>
      <c r="C48" s="86" t="s">
        <v>128</v>
      </c>
      <c r="D48" s="87"/>
      <c r="E48" s="126"/>
      <c r="F48" s="92"/>
      <c r="G48" s="85" t="s">
        <v>167</v>
      </c>
      <c r="H48" s="86" t="s">
        <v>128</v>
      </c>
      <c r="I48" s="87"/>
      <c r="J48" s="137"/>
    </row>
    <row r="49" spans="1:10" ht="17.399999999999999">
      <c r="A49" s="69"/>
      <c r="B49" s="133" t="s">
        <v>168</v>
      </c>
      <c r="C49" s="86" t="s">
        <v>128</v>
      </c>
      <c r="D49" s="87"/>
      <c r="E49" s="126"/>
      <c r="F49" s="93"/>
      <c r="G49" s="85" t="s">
        <v>169</v>
      </c>
      <c r="H49" s="86" t="s">
        <v>128</v>
      </c>
      <c r="I49" s="87"/>
      <c r="J49" s="137"/>
    </row>
    <row r="50" spans="1:10" ht="17.399999999999999">
      <c r="A50" s="69"/>
      <c r="B50" s="85" t="s">
        <v>170</v>
      </c>
      <c r="C50" s="86" t="s">
        <v>128</v>
      </c>
      <c r="D50" s="87"/>
      <c r="E50" s="126"/>
      <c r="F50" s="93"/>
      <c r="G50" s="85" t="s">
        <v>171</v>
      </c>
      <c r="H50" s="86" t="s">
        <v>128</v>
      </c>
      <c r="I50" s="87"/>
      <c r="J50" s="140"/>
    </row>
    <row r="51" spans="1:10" ht="17.399999999999999">
      <c r="A51" s="69"/>
      <c r="B51" s="133" t="s">
        <v>172</v>
      </c>
      <c r="C51" s="86"/>
      <c r="D51" s="87"/>
      <c r="E51" s="126"/>
      <c r="F51" s="93"/>
      <c r="G51" s="85" t="s">
        <v>173</v>
      </c>
      <c r="H51" s="86" t="s">
        <v>128</v>
      </c>
      <c r="I51" s="87"/>
      <c r="J51" s="137"/>
    </row>
    <row r="52" spans="1:10" ht="17.399999999999999">
      <c r="A52" s="69"/>
      <c r="B52" s="82" t="s">
        <v>229</v>
      </c>
      <c r="C52" s="83"/>
      <c r="D52" s="84">
        <v>6</v>
      </c>
      <c r="E52" s="126"/>
      <c r="F52" s="93"/>
      <c r="G52" s="202"/>
      <c r="H52" s="195"/>
      <c r="I52" s="198"/>
      <c r="J52" s="137"/>
    </row>
    <row r="53" spans="1:10" ht="17.399999999999999">
      <c r="A53" s="69"/>
      <c r="B53" s="85" t="s">
        <v>174</v>
      </c>
      <c r="C53" s="86" t="s">
        <v>51</v>
      </c>
      <c r="D53" s="87"/>
      <c r="E53" s="126"/>
      <c r="F53" s="93"/>
      <c r="G53" s="202"/>
      <c r="H53" s="195"/>
      <c r="I53" s="198"/>
      <c r="J53" s="137"/>
    </row>
    <row r="54" spans="1:10" ht="17.399999999999999">
      <c r="A54" s="69"/>
      <c r="B54" s="85" t="s">
        <v>175</v>
      </c>
      <c r="C54" s="86" t="s">
        <v>51</v>
      </c>
      <c r="D54" s="87"/>
      <c r="E54" s="126"/>
      <c r="F54" s="93"/>
      <c r="G54" s="202"/>
      <c r="H54" s="195"/>
      <c r="I54" s="198"/>
      <c r="J54" s="137"/>
    </row>
    <row r="55" spans="1:10" ht="17.399999999999999">
      <c r="A55" s="69"/>
      <c r="B55" s="85" t="s">
        <v>176</v>
      </c>
      <c r="C55" s="86" t="s">
        <v>128</v>
      </c>
      <c r="D55" s="87"/>
      <c r="E55" s="126"/>
      <c r="F55" s="93"/>
      <c r="G55" s="141"/>
      <c r="H55" s="141"/>
      <c r="I55" s="141"/>
      <c r="J55" s="137"/>
    </row>
    <row r="56" spans="1:10" ht="17.399999999999999">
      <c r="A56" s="69"/>
      <c r="B56" s="85" t="s">
        <v>177</v>
      </c>
      <c r="C56" s="86" t="s">
        <v>128</v>
      </c>
      <c r="D56" s="87"/>
      <c r="E56" s="126"/>
      <c r="F56" s="93"/>
      <c r="G56" s="141"/>
      <c r="H56" s="141"/>
      <c r="I56" s="141"/>
      <c r="J56" s="137"/>
    </row>
    <row r="57" spans="1:10" ht="17.399999999999999">
      <c r="A57" s="69"/>
      <c r="B57" s="133" t="s">
        <v>178</v>
      </c>
      <c r="C57" s="86" t="s">
        <v>128</v>
      </c>
      <c r="D57" s="87"/>
      <c r="E57" s="126"/>
      <c r="F57" s="93"/>
      <c r="G57" s="141"/>
      <c r="H57" s="141"/>
      <c r="I57" s="141"/>
      <c r="J57" s="137"/>
    </row>
    <row r="58" spans="1:10" ht="17.399999999999999">
      <c r="A58" s="69"/>
      <c r="B58" s="133" t="s">
        <v>179</v>
      </c>
      <c r="C58" s="86"/>
      <c r="D58" s="87"/>
      <c r="E58" s="126"/>
      <c r="F58" s="93"/>
      <c r="G58" s="141"/>
      <c r="H58" s="141"/>
      <c r="I58" s="141"/>
      <c r="J58" s="137"/>
    </row>
    <row r="59" spans="1:10" ht="17.399999999999999">
      <c r="A59" s="69"/>
      <c r="B59" s="85" t="s">
        <v>180</v>
      </c>
      <c r="C59" s="86" t="s">
        <v>128</v>
      </c>
      <c r="D59" s="87"/>
      <c r="E59" s="126"/>
      <c r="F59" s="93"/>
      <c r="G59" s="202"/>
      <c r="H59" s="195"/>
      <c r="I59" s="198"/>
      <c r="J59" s="137"/>
    </row>
    <row r="60" spans="1:10" ht="17.399999999999999">
      <c r="A60" s="69"/>
      <c r="B60" s="142" t="s">
        <v>181</v>
      </c>
      <c r="C60" s="105"/>
      <c r="D60" s="95"/>
      <c r="E60" s="126"/>
      <c r="F60" s="93"/>
      <c r="G60" s="141"/>
      <c r="H60" s="141"/>
      <c r="I60" s="141"/>
      <c r="J60" s="137"/>
    </row>
    <row r="61" spans="1:10" ht="17.399999999999999">
      <c r="A61" s="69"/>
      <c r="B61" s="82" t="s">
        <v>182</v>
      </c>
      <c r="C61" s="83"/>
      <c r="D61" s="84">
        <v>8</v>
      </c>
      <c r="E61" s="126"/>
      <c r="F61" s="72"/>
      <c r="G61" s="82" t="s">
        <v>121</v>
      </c>
      <c r="H61" s="83"/>
      <c r="I61" s="84">
        <v>3</v>
      </c>
      <c r="J61" s="127"/>
    </row>
    <row r="62" spans="1:10" ht="17.399999999999999">
      <c r="A62" s="69"/>
      <c r="B62" s="133" t="s">
        <v>183</v>
      </c>
      <c r="C62" s="72"/>
      <c r="D62" s="87"/>
      <c r="E62" s="126"/>
      <c r="F62" s="72"/>
      <c r="G62" s="85" t="s">
        <v>123</v>
      </c>
      <c r="H62" s="72"/>
      <c r="I62" s="87"/>
      <c r="J62" s="127"/>
    </row>
    <row r="63" spans="1:10" ht="17.399999999999999">
      <c r="A63" s="69"/>
      <c r="B63" s="133" t="s">
        <v>184</v>
      </c>
      <c r="C63" s="72"/>
      <c r="D63" s="87"/>
      <c r="E63" s="126"/>
      <c r="F63" s="72"/>
      <c r="G63" s="85" t="s">
        <v>126</v>
      </c>
      <c r="H63" s="72"/>
      <c r="I63" s="87"/>
      <c r="J63" s="127"/>
    </row>
    <row r="64" spans="1:10" ht="17.399999999999999">
      <c r="A64" s="69"/>
      <c r="B64" s="133" t="s">
        <v>185</v>
      </c>
      <c r="C64" s="86"/>
      <c r="D64" s="87"/>
      <c r="E64" s="126"/>
      <c r="F64" s="72"/>
      <c r="G64" s="82" t="s">
        <v>129</v>
      </c>
      <c r="H64" s="83"/>
      <c r="I64" s="84">
        <v>6</v>
      </c>
      <c r="J64" s="127"/>
    </row>
    <row r="65" spans="1:10" ht="17.399999999999999">
      <c r="A65" s="69"/>
      <c r="B65" s="133" t="s">
        <v>186</v>
      </c>
      <c r="C65" s="86"/>
      <c r="D65" s="87"/>
      <c r="E65" s="126"/>
      <c r="F65" s="72"/>
      <c r="G65" s="85" t="s">
        <v>131</v>
      </c>
      <c r="H65" s="72"/>
      <c r="I65" s="87"/>
      <c r="J65" s="127"/>
    </row>
    <row r="66" spans="1:10" ht="17.399999999999999">
      <c r="A66" s="69"/>
      <c r="B66" s="133" t="s">
        <v>187</v>
      </c>
      <c r="C66" s="86"/>
      <c r="D66" s="87"/>
      <c r="E66" s="126"/>
      <c r="F66" s="89"/>
      <c r="G66" s="85" t="s">
        <v>133</v>
      </c>
      <c r="H66" s="86"/>
      <c r="I66" s="87"/>
      <c r="J66" s="127"/>
    </row>
    <row r="67" spans="1:10" ht="19.8">
      <c r="A67" s="69"/>
      <c r="B67" s="133" t="s">
        <v>188</v>
      </c>
      <c r="C67" s="72"/>
      <c r="D67" s="87"/>
      <c r="E67" s="134"/>
      <c r="F67" s="89"/>
      <c r="G67" s="82" t="s">
        <v>136</v>
      </c>
      <c r="H67" s="83"/>
      <c r="I67" s="84">
        <v>5</v>
      </c>
      <c r="J67" s="127"/>
    </row>
    <row r="68" spans="1:10" ht="17.399999999999999">
      <c r="A68" s="69"/>
      <c r="B68" s="82" t="s">
        <v>232</v>
      </c>
      <c r="C68" s="83"/>
      <c r="D68" s="84">
        <v>8</v>
      </c>
      <c r="E68" s="135"/>
      <c r="F68" s="89"/>
      <c r="G68" s="85" t="s">
        <v>138</v>
      </c>
      <c r="H68" s="72"/>
      <c r="I68" s="87"/>
      <c r="J68" s="136"/>
    </row>
    <row r="69" spans="1:10" ht="17.399999999999999">
      <c r="A69" s="69"/>
      <c r="B69" s="133" t="s">
        <v>189</v>
      </c>
      <c r="C69" s="86"/>
      <c r="D69" s="87"/>
      <c r="E69" s="135"/>
      <c r="F69" s="89"/>
      <c r="G69" s="85" t="s">
        <v>140</v>
      </c>
      <c r="H69" s="86"/>
      <c r="I69" s="87"/>
      <c r="J69" s="136"/>
    </row>
    <row r="70" spans="1:10" ht="17.399999999999999">
      <c r="A70" s="69"/>
      <c r="B70" s="133" t="s">
        <v>190</v>
      </c>
      <c r="C70" s="86"/>
      <c r="D70" s="87"/>
      <c r="E70" s="135"/>
      <c r="F70" s="89"/>
      <c r="G70" s="130"/>
      <c r="H70" s="131"/>
      <c r="I70" s="132"/>
      <c r="J70" s="136"/>
    </row>
    <row r="71" spans="1:10" ht="17.399999999999999">
      <c r="A71" s="69"/>
      <c r="B71" s="133" t="s">
        <v>191</v>
      </c>
      <c r="C71" s="86"/>
      <c r="D71" s="87"/>
      <c r="E71" s="135"/>
      <c r="F71" s="89"/>
      <c r="G71" s="130"/>
      <c r="H71" s="131"/>
      <c r="I71" s="132"/>
      <c r="J71" s="136"/>
    </row>
    <row r="72" spans="1:10" ht="17.399999999999999">
      <c r="A72" s="69"/>
      <c r="B72" s="133" t="s">
        <v>192</v>
      </c>
      <c r="C72" s="86"/>
      <c r="D72" s="87"/>
      <c r="E72" s="135"/>
      <c r="F72" s="89"/>
      <c r="G72" s="130"/>
      <c r="H72" s="131"/>
      <c r="I72" s="132"/>
      <c r="J72" s="136"/>
    </row>
    <row r="73" spans="1:10" ht="17.399999999999999">
      <c r="A73" s="69"/>
      <c r="B73" s="133" t="s">
        <v>193</v>
      </c>
      <c r="C73" s="86"/>
      <c r="D73" s="87"/>
      <c r="E73" s="135"/>
      <c r="F73" s="89"/>
      <c r="G73" s="82" t="s">
        <v>194</v>
      </c>
      <c r="H73" s="83"/>
      <c r="I73" s="84">
        <v>6</v>
      </c>
      <c r="J73" s="136"/>
    </row>
    <row r="74" spans="1:10" ht="17.399999999999999">
      <c r="A74" s="69"/>
      <c r="B74" s="133" t="s">
        <v>195</v>
      </c>
      <c r="C74" s="86"/>
      <c r="D74" s="87"/>
      <c r="E74" s="135"/>
      <c r="F74" s="89"/>
      <c r="G74" s="85" t="s">
        <v>145</v>
      </c>
      <c r="H74" s="72"/>
      <c r="I74" s="87"/>
      <c r="J74" s="136"/>
    </row>
    <row r="75" spans="1:10" ht="17.399999999999999">
      <c r="A75" s="69"/>
      <c r="B75" s="133" t="s">
        <v>196</v>
      </c>
      <c r="C75" s="86"/>
      <c r="D75" s="87"/>
      <c r="E75" s="135"/>
      <c r="F75" s="89"/>
      <c r="G75" s="85" t="s">
        <v>148</v>
      </c>
      <c r="H75" s="86"/>
      <c r="I75" s="87"/>
      <c r="J75" s="136"/>
    </row>
    <row r="76" spans="1:10" ht="17.399999999999999">
      <c r="A76" s="69"/>
      <c r="B76" s="82" t="s">
        <v>230</v>
      </c>
      <c r="C76" s="83"/>
      <c r="D76" s="84">
        <v>8</v>
      </c>
      <c r="E76" s="135"/>
      <c r="F76" s="90"/>
      <c r="G76" s="82" t="s">
        <v>150</v>
      </c>
      <c r="H76" s="83"/>
      <c r="I76" s="84">
        <v>4</v>
      </c>
      <c r="J76" s="136"/>
    </row>
    <row r="77" spans="1:10" ht="17.399999999999999">
      <c r="A77" s="69"/>
      <c r="B77" s="133" t="s">
        <v>197</v>
      </c>
      <c r="C77" s="86"/>
      <c r="D77" s="87"/>
      <c r="E77" s="138"/>
      <c r="F77" s="90"/>
      <c r="G77" s="85" t="s">
        <v>161</v>
      </c>
      <c r="H77" s="72"/>
      <c r="I77" s="87"/>
      <c r="J77" s="136"/>
    </row>
    <row r="78" spans="1:10" ht="17.399999999999999">
      <c r="A78" s="69"/>
      <c r="B78" s="133" t="s">
        <v>198</v>
      </c>
      <c r="C78" s="86"/>
      <c r="D78" s="87"/>
      <c r="E78" s="138"/>
      <c r="F78" s="93"/>
      <c r="G78" s="85" t="s">
        <v>163</v>
      </c>
      <c r="H78" s="86"/>
      <c r="I78" s="87"/>
      <c r="J78" s="139"/>
    </row>
    <row r="79" spans="1:10" ht="17.399999999999999">
      <c r="A79" s="69"/>
      <c r="B79" s="133" t="s">
        <v>199</v>
      </c>
      <c r="C79" s="86"/>
      <c r="D79" s="87"/>
      <c r="E79" s="126"/>
      <c r="F79" s="93"/>
      <c r="G79" s="82" t="s">
        <v>165</v>
      </c>
      <c r="H79" s="83"/>
      <c r="I79" s="84">
        <v>16</v>
      </c>
      <c r="J79" s="139"/>
    </row>
    <row r="80" spans="1:10" ht="17.399999999999999">
      <c r="A80" s="69"/>
      <c r="B80" s="133" t="s">
        <v>200</v>
      </c>
      <c r="C80" s="86"/>
      <c r="D80" s="87"/>
      <c r="E80" s="126"/>
      <c r="F80" s="92"/>
      <c r="G80" s="85" t="s">
        <v>167</v>
      </c>
      <c r="H80" s="86" t="s">
        <v>128</v>
      </c>
      <c r="I80" s="87"/>
      <c r="J80" s="137"/>
    </row>
    <row r="81" spans="1:10" ht="17.399999999999999">
      <c r="A81" s="69"/>
      <c r="B81" s="133" t="s">
        <v>201</v>
      </c>
      <c r="C81" s="86"/>
      <c r="D81" s="87"/>
      <c r="E81" s="126"/>
      <c r="F81" s="93"/>
      <c r="G81" s="85" t="s">
        <v>169</v>
      </c>
      <c r="H81" s="86" t="s">
        <v>128</v>
      </c>
      <c r="I81" s="87"/>
      <c r="J81" s="137"/>
    </row>
    <row r="82" spans="1:10" ht="17.399999999999999">
      <c r="A82" s="69"/>
      <c r="B82" s="82" t="s">
        <v>231</v>
      </c>
      <c r="C82" s="83"/>
      <c r="D82" s="84">
        <v>16</v>
      </c>
      <c r="E82" s="126"/>
      <c r="F82" s="93"/>
      <c r="G82" s="85" t="s">
        <v>159</v>
      </c>
      <c r="H82" s="86" t="s">
        <v>128</v>
      </c>
      <c r="I82" s="87"/>
      <c r="J82" s="137"/>
    </row>
    <row r="83" spans="1:10" ht="17.399999999999999">
      <c r="A83" s="69"/>
      <c r="B83" s="133" t="s">
        <v>202</v>
      </c>
      <c r="C83" s="72"/>
      <c r="D83" s="87"/>
      <c r="E83" s="126"/>
      <c r="F83" s="93"/>
      <c r="G83" s="85" t="s">
        <v>203</v>
      </c>
      <c r="H83" s="86" t="s">
        <v>128</v>
      </c>
      <c r="I83" s="87"/>
      <c r="J83" s="137"/>
    </row>
    <row r="84" spans="1:10" ht="17.399999999999999">
      <c r="A84" s="69"/>
      <c r="B84" s="133" t="s">
        <v>204</v>
      </c>
      <c r="C84" s="86"/>
      <c r="D84" s="87"/>
      <c r="E84" s="126"/>
      <c r="F84" s="93"/>
      <c r="G84" s="143"/>
      <c r="H84" s="144"/>
      <c r="I84" s="109">
        <f>SUM(I61,I64,I67,I73,I76,I79)</f>
        <v>40</v>
      </c>
      <c r="J84" s="137"/>
    </row>
    <row r="85" spans="1:10" ht="17.399999999999999">
      <c r="A85" s="69"/>
      <c r="B85" s="133" t="s">
        <v>205</v>
      </c>
      <c r="C85" s="86"/>
      <c r="D85" s="87"/>
      <c r="E85" s="126"/>
      <c r="F85" s="93"/>
      <c r="G85" s="202"/>
      <c r="H85" s="195"/>
      <c r="I85" s="198"/>
      <c r="J85" s="137"/>
    </row>
    <row r="86" spans="1:10" ht="17.399999999999999">
      <c r="A86" s="69"/>
      <c r="B86" s="133" t="s">
        <v>206</v>
      </c>
      <c r="C86" s="86"/>
      <c r="D86" s="87"/>
      <c r="E86" s="126"/>
      <c r="F86" s="93"/>
      <c r="G86" s="202"/>
      <c r="H86" s="195"/>
      <c r="I86" s="198"/>
      <c r="J86" s="137"/>
    </row>
    <row r="87" spans="1:10" ht="17.399999999999999">
      <c r="A87" s="69"/>
      <c r="B87" s="142" t="s">
        <v>207</v>
      </c>
      <c r="C87" s="105"/>
      <c r="D87" s="95"/>
      <c r="E87" s="126"/>
      <c r="F87" s="93"/>
      <c r="G87" s="141"/>
      <c r="H87" s="141"/>
      <c r="I87" s="141"/>
      <c r="J87" s="137"/>
    </row>
    <row r="88" spans="1:10" ht="17.399999999999999">
      <c r="A88" s="69"/>
      <c r="B88" s="143"/>
      <c r="C88" s="144"/>
      <c r="D88" s="109">
        <f>SUM(D16,D25,D35,D44,D52,D61,D68,D76,D82)</f>
        <v>80</v>
      </c>
      <c r="E88" s="126"/>
      <c r="F88" s="93"/>
      <c r="G88" s="202"/>
      <c r="H88" s="195"/>
      <c r="I88" s="198"/>
      <c r="J88" s="137"/>
    </row>
    <row r="89" spans="1:10" ht="17.399999999999999">
      <c r="A89" s="110"/>
      <c r="B89" s="197" t="s">
        <v>208</v>
      </c>
      <c r="C89" s="195"/>
      <c r="D89" s="198"/>
      <c r="E89" s="145"/>
      <c r="F89" s="93"/>
      <c r="G89" s="141"/>
      <c r="H89" s="141"/>
      <c r="I89" s="141"/>
      <c r="J89" s="137"/>
    </row>
    <row r="90" spans="1:10" ht="17.399999999999999">
      <c r="A90" s="112"/>
      <c r="B90" s="199"/>
      <c r="C90" s="200"/>
      <c r="D90" s="201"/>
      <c r="E90" s="146"/>
      <c r="F90" s="93"/>
      <c r="G90" s="202"/>
      <c r="H90" s="195"/>
      <c r="I90" s="198"/>
      <c r="J90" s="137"/>
    </row>
  </sheetData>
  <mergeCells count="14">
    <mergeCell ref="B90:D90"/>
    <mergeCell ref="G90:I90"/>
    <mergeCell ref="B12:D12"/>
    <mergeCell ref="G12:I12"/>
    <mergeCell ref="B14:D14"/>
    <mergeCell ref="G14:I14"/>
    <mergeCell ref="G52:I52"/>
    <mergeCell ref="G53:I53"/>
    <mergeCell ref="G54:I54"/>
    <mergeCell ref="G59:I59"/>
    <mergeCell ref="G85:I85"/>
    <mergeCell ref="G86:I86"/>
    <mergeCell ref="G88:I88"/>
    <mergeCell ref="B89:D89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DD3B-D9CB-4975-BE31-05676D6EE223}">
  <dimension ref="A1:I20"/>
  <sheetViews>
    <sheetView topLeftCell="A7" zoomScale="115" zoomScaleNormal="115" workbookViewId="0">
      <selection activeCell="C7" sqref="C7"/>
    </sheetView>
  </sheetViews>
  <sheetFormatPr defaultRowHeight="13.2"/>
  <cols>
    <col min="1" max="1" width="10" customWidth="1"/>
    <col min="2" max="2" width="8.6640625" customWidth="1"/>
    <col min="3" max="5" width="30.77734375" customWidth="1"/>
    <col min="6" max="6" width="33.88671875" customWidth="1"/>
    <col min="7" max="7" width="30.77734375" customWidth="1"/>
    <col min="8" max="8" width="8.77734375" customWidth="1"/>
    <col min="9" max="9" width="11.109375" customWidth="1"/>
  </cols>
  <sheetData>
    <row r="1" spans="1:9" ht="21">
      <c r="A1" s="167" t="s">
        <v>214</v>
      </c>
      <c r="B1" s="167"/>
      <c r="C1" s="167"/>
      <c r="D1" s="167"/>
      <c r="E1" s="167"/>
      <c r="F1" s="167"/>
      <c r="G1" s="167"/>
      <c r="H1" s="167"/>
      <c r="I1" s="167"/>
    </row>
    <row r="3" spans="1:9" ht="15.6">
      <c r="A3" s="147" t="s">
        <v>5</v>
      </c>
    </row>
    <row r="4" spans="1:9" ht="21.6">
      <c r="A4" s="154" t="s">
        <v>209</v>
      </c>
      <c r="B4" s="155" t="s">
        <v>24</v>
      </c>
      <c r="C4" s="154" t="s">
        <v>25</v>
      </c>
      <c r="D4" s="154" t="s">
        <v>26</v>
      </c>
      <c r="E4" s="154" t="s">
        <v>27</v>
      </c>
      <c r="F4" s="154" t="s">
        <v>28</v>
      </c>
      <c r="G4" s="154" t="s">
        <v>29</v>
      </c>
      <c r="H4" s="156" t="s">
        <v>30</v>
      </c>
      <c r="I4" s="154" t="s">
        <v>210</v>
      </c>
    </row>
    <row r="5" spans="1:9" ht="19.2">
      <c r="A5" s="157" t="s">
        <v>211</v>
      </c>
      <c r="B5" s="158">
        <v>17</v>
      </c>
      <c r="C5" s="160">
        <v>18</v>
      </c>
      <c r="D5" s="160">
        <v>19</v>
      </c>
      <c r="E5" s="160">
        <v>20</v>
      </c>
      <c r="F5" s="160">
        <v>21</v>
      </c>
      <c r="G5" s="160">
        <v>22</v>
      </c>
      <c r="H5" s="159">
        <v>23</v>
      </c>
      <c r="I5" s="149"/>
    </row>
    <row r="6" spans="1:9">
      <c r="A6" s="150" t="s">
        <v>212</v>
      </c>
      <c r="B6" s="149"/>
      <c r="C6" s="149"/>
      <c r="D6" s="149"/>
      <c r="E6" s="149"/>
      <c r="F6" s="149"/>
      <c r="G6" s="149"/>
      <c r="H6" s="149"/>
      <c r="I6" s="149"/>
    </row>
    <row r="7" spans="1:9" ht="223.2" customHeight="1">
      <c r="A7" s="150" t="s">
        <v>213</v>
      </c>
      <c r="B7" s="149"/>
      <c r="C7" s="149"/>
      <c r="D7" s="162" t="s">
        <v>228</v>
      </c>
      <c r="E7" s="162" t="s">
        <v>217</v>
      </c>
      <c r="F7" s="162" t="s">
        <v>218</v>
      </c>
      <c r="G7" s="162" t="s">
        <v>219</v>
      </c>
      <c r="H7" s="149"/>
      <c r="I7" s="149"/>
    </row>
    <row r="8" spans="1:9">
      <c r="A8" s="150" t="s">
        <v>210</v>
      </c>
      <c r="B8" s="149"/>
      <c r="C8" s="148"/>
      <c r="D8" s="148">
        <v>7</v>
      </c>
      <c r="E8" s="148">
        <v>7</v>
      </c>
      <c r="F8" s="148">
        <v>7</v>
      </c>
      <c r="G8" s="148">
        <v>7</v>
      </c>
      <c r="H8" s="148"/>
      <c r="I8" s="149">
        <f>SUM(C8:H8)</f>
        <v>28</v>
      </c>
    </row>
    <row r="9" spans="1:9" ht="19.2">
      <c r="A9" s="157" t="s">
        <v>211</v>
      </c>
      <c r="B9" s="158">
        <v>24</v>
      </c>
      <c r="C9" s="161">
        <v>25</v>
      </c>
      <c r="D9" s="160">
        <v>26</v>
      </c>
      <c r="E9" s="160">
        <v>27</v>
      </c>
      <c r="F9" s="160">
        <v>28</v>
      </c>
      <c r="G9" s="160">
        <v>29</v>
      </c>
      <c r="H9" s="159">
        <v>30</v>
      </c>
      <c r="I9" s="149"/>
    </row>
    <row r="10" spans="1:9">
      <c r="A10" s="150" t="s">
        <v>212</v>
      </c>
      <c r="B10" s="149"/>
      <c r="C10" s="149"/>
      <c r="D10" s="149"/>
      <c r="E10" s="149"/>
      <c r="F10" s="149"/>
      <c r="G10" s="149"/>
      <c r="H10" s="149"/>
      <c r="I10" s="149"/>
    </row>
    <row r="11" spans="1:9" ht="199.95" customHeight="1">
      <c r="A11" s="150" t="s">
        <v>213</v>
      </c>
      <c r="B11" s="149"/>
      <c r="C11" s="166" t="s">
        <v>215</v>
      </c>
      <c r="D11" s="162" t="s">
        <v>220</v>
      </c>
      <c r="E11" s="162" t="s">
        <v>221</v>
      </c>
      <c r="F11" s="162" t="s">
        <v>222</v>
      </c>
      <c r="G11" s="162" t="s">
        <v>223</v>
      </c>
      <c r="H11" s="149"/>
      <c r="I11" s="149"/>
    </row>
    <row r="12" spans="1:9">
      <c r="A12" s="150" t="s">
        <v>210</v>
      </c>
      <c r="B12" s="149"/>
      <c r="C12" s="148"/>
      <c r="D12" s="148">
        <v>7</v>
      </c>
      <c r="E12" s="148">
        <v>7</v>
      </c>
      <c r="F12" s="148">
        <v>7</v>
      </c>
      <c r="G12" s="148">
        <v>7</v>
      </c>
      <c r="H12" s="148"/>
      <c r="I12" s="149">
        <f>SUM(C12:H12)</f>
        <v>28</v>
      </c>
    </row>
    <row r="13" spans="1:9">
      <c r="A13" s="151"/>
      <c r="B13" s="151"/>
      <c r="C13" s="151"/>
      <c r="D13" s="151"/>
      <c r="E13" s="151"/>
      <c r="F13" s="151"/>
      <c r="G13" s="151"/>
      <c r="H13" s="151"/>
      <c r="I13" s="151"/>
    </row>
    <row r="14" spans="1:9" ht="15.6">
      <c r="A14" s="152" t="s">
        <v>6</v>
      </c>
      <c r="B14" s="151"/>
      <c r="C14" s="151"/>
      <c r="D14" s="151"/>
      <c r="E14" s="151"/>
      <c r="F14" s="151"/>
      <c r="G14" s="151"/>
      <c r="H14" s="151"/>
      <c r="I14" s="151"/>
    </row>
    <row r="15" spans="1:9" ht="21.6">
      <c r="A15" s="154" t="s">
        <v>209</v>
      </c>
      <c r="B15" s="155" t="s">
        <v>24</v>
      </c>
      <c r="C15" s="154" t="s">
        <v>25</v>
      </c>
      <c r="D15" s="154" t="s">
        <v>26</v>
      </c>
      <c r="E15" s="154" t="s">
        <v>27</v>
      </c>
      <c r="F15" s="154" t="s">
        <v>28</v>
      </c>
      <c r="G15" s="154" t="s">
        <v>29</v>
      </c>
      <c r="H15" s="156" t="s">
        <v>30</v>
      </c>
      <c r="I15" s="154" t="s">
        <v>210</v>
      </c>
    </row>
    <row r="16" spans="1:9" ht="19.2">
      <c r="A16" s="157" t="s">
        <v>211</v>
      </c>
      <c r="B16" s="158">
        <v>31</v>
      </c>
      <c r="C16" s="160">
        <v>1</v>
      </c>
      <c r="D16" s="160">
        <v>2</v>
      </c>
      <c r="E16" s="161">
        <v>3</v>
      </c>
      <c r="F16" s="160">
        <v>4</v>
      </c>
      <c r="G16" s="160">
        <v>5</v>
      </c>
      <c r="H16" s="153"/>
      <c r="I16" s="149"/>
    </row>
    <row r="17" spans="1:9">
      <c r="A17" s="150" t="s">
        <v>212</v>
      </c>
      <c r="B17" s="149"/>
      <c r="C17" s="149"/>
      <c r="D17" s="149"/>
      <c r="E17" s="149"/>
      <c r="F17" s="149"/>
      <c r="G17" s="149"/>
      <c r="H17" s="149"/>
      <c r="I17" s="149"/>
    </row>
    <row r="18" spans="1:9" ht="199.95" customHeight="1">
      <c r="A18" s="150" t="s">
        <v>213</v>
      </c>
      <c r="B18" s="149"/>
      <c r="C18" s="162" t="s">
        <v>224</v>
      </c>
      <c r="D18" s="162" t="s">
        <v>225</v>
      </c>
      <c r="E18" s="165" t="s">
        <v>216</v>
      </c>
      <c r="F18" s="163" t="s">
        <v>226</v>
      </c>
      <c r="G18" s="164" t="s">
        <v>227</v>
      </c>
      <c r="H18" s="149"/>
      <c r="I18" s="149"/>
    </row>
    <row r="19" spans="1:9">
      <c r="A19" s="150" t="s">
        <v>210</v>
      </c>
      <c r="B19" s="149"/>
      <c r="C19" s="148">
        <v>7</v>
      </c>
      <c r="D19" s="148">
        <v>7</v>
      </c>
      <c r="E19" s="148"/>
      <c r="F19" s="148">
        <v>7</v>
      </c>
      <c r="G19" s="148">
        <v>3</v>
      </c>
      <c r="H19" s="153"/>
      <c r="I19" s="149">
        <f>SUM(C19:G19)</f>
        <v>24</v>
      </c>
    </row>
    <row r="20" spans="1:9">
      <c r="I20">
        <f>SUM(I8,I12,I19)</f>
        <v>80</v>
      </c>
    </row>
  </sheetData>
  <mergeCells count="1">
    <mergeCell ref="A1:I1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과정운영(안)</vt:lpstr>
      <vt:lpstr>연간일정</vt:lpstr>
      <vt:lpstr>인공지능 심화(160H)</vt:lpstr>
      <vt:lpstr>바이브코딩(80H)</vt:lpstr>
      <vt:lpstr>5월6월교율일정_P1_상세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daniel_wj</dc:creator>
  <cp:lastModifiedBy>daniel_wj</cp:lastModifiedBy>
  <dcterms:created xsi:type="dcterms:W3CDTF">2026-05-18T09:55:16Z</dcterms:created>
  <dcterms:modified xsi:type="dcterms:W3CDTF">2026-06-06T11:00:05Z</dcterms:modified>
</cp:coreProperties>
</file>